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xml"/>
  <Override PartName="/xl/slicers/slicer4.xml" ContentType="application/vnd.ms-excel.slicer+xml"/>
  <Override PartName="/xl/charts/chart14.xml" ContentType="application/vnd.openxmlformats-officedocument.drawingml.chart+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6.xml" ContentType="application/vnd.openxmlformats-officedocument.drawing+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7.xml" ContentType="application/vnd.openxmlformats-officedocument.drawing+xml"/>
  <Override PartName="/xl/slicers/slicer5.xml" ContentType="application/vnd.ms-excel.slicer+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User\Desktop\Excel Projects\Startup Investment &amp; Growth Trends Dashboard (2015–2024)\"/>
    </mc:Choice>
  </mc:AlternateContent>
  <xr:revisionPtr revIDLastSave="0" documentId="13_ncr:1_{9D23A028-B929-48FB-94B1-090F765383BA}" xr6:coauthVersionLast="47" xr6:coauthVersionMax="47" xr10:uidLastSave="{00000000-0000-0000-0000-000000000000}"/>
  <bookViews>
    <workbookView xWindow="-120" yWindow="-120" windowWidth="29040" windowHeight="15720" activeTab="2" xr2:uid="{857D2443-DAFD-4F02-A831-366B1DB633D4}"/>
  </bookViews>
  <sheets>
    <sheet name="Cleaned_Data" sheetId="3" r:id="rId1"/>
    <sheet name="FI data" sheetId="4" state="hidden" r:id="rId2"/>
    <sheet name="Funding Insights" sheetId="5" r:id="rId3"/>
    <sheet name="G&amp;R calculations" sheetId="7" state="hidden" r:id="rId4"/>
    <sheet name="Growth&amp;Revenue Insights" sheetId="8" r:id="rId5"/>
    <sheet name="PA calculations" sheetId="9" state="hidden" r:id="rId6"/>
    <sheet name="Profit Analysis Insights" sheetId="10" r:id="rId7"/>
    <sheet name="RB calculations" sheetId="12" state="hidden" r:id="rId8"/>
    <sheet name="Regional Breakdown" sheetId="13" r:id="rId9"/>
    <sheet name="ES calculations" sheetId="15" state="hidden" r:id="rId10"/>
    <sheet name="Exit Strategy" sheetId="14" r:id="rId11"/>
    <sheet name="TBI calculations" sheetId="16" state="hidden" r:id="rId12"/>
    <sheet name="Time Based Insights" sheetId="17" r:id="rId13"/>
    <sheet name="FI calculations" sheetId="6" state="hidden" r:id="rId14"/>
  </sheets>
  <definedNames>
    <definedName name="_xlcn.WorksheetConnection_startup_data.xlsxstartup_data1" hidden="1">startup_data</definedName>
    <definedName name="_xlpm.col_index" hidden="1" xlm="1">#NAME?</definedName>
    <definedName name="_xlpm.data" hidden="1" xlm="1">#NAME?</definedName>
    <definedName name="_xlpm.headers" hidden="1" xlm="1">#NAME?</definedName>
    <definedName name="_xlpm.selected" hidden="1" xlm="1">#NAME?</definedName>
    <definedName name="labels">OFFSET('G&amp;R calculations'!$A$2,0,0,COUNTA('G&amp;R calculations'!$A:$A)-1.1)</definedName>
    <definedName name="SelectedChart">CHOOSE(MATCH('Regional Breakdown'!$I$7,   {"Funding by Region","Valuation by Region","Market Share differences by Region","Industry Numbers by Region"}, 0),  'RB calculations'!$B$11,   'RB calculations'!$B$10,   'RB calculations'!$B$9,   'RB calculations'!$B$12)</definedName>
    <definedName name="Slicer_Industry">#N/A</definedName>
    <definedName name="Slicer_Industry1">#N/A</definedName>
    <definedName name="Slicer_Industry2">#N/A</definedName>
    <definedName name="Slicer_Industry3">#N/A</definedName>
    <definedName name="Slicer_Industry4">#N/A</definedName>
    <definedName name="Slicer_Region">#N/A</definedName>
    <definedName name="Slicer_Region1">#N/A</definedName>
    <definedName name="Slicer_Region2">#N/A</definedName>
    <definedName name="Slicer_Region3">#N/A</definedName>
    <definedName name="Slicer_Region4">#N/A</definedName>
    <definedName name="Slicer_Region5">#N/A</definedName>
    <definedName name="startup_data_1" localSheetId="0" hidden="1">Cleaned_Data!$A$1:$O$501</definedName>
    <definedName name="startup_data_1" localSheetId="1" hidden="1">'FI data'!$A$1:$O$501</definedName>
    <definedName name="x_axis">OFFSET('G&amp;R calculations'!$B$2,0,0,COUNTA('G&amp;R calculations'!$A:$A)-1,1)</definedName>
    <definedName name="y_axis">OFFSET('G&amp;R calculations'!$C$2,0,0,COUNTA('G&amp;R calculations'!$A:$A)-1,1)</definedName>
  </definedNames>
  <calcPr calcId="191029"/>
  <pivotCaches>
    <pivotCache cacheId="220" r:id="rId15"/>
    <pivotCache cacheId="223" r:id="rId16"/>
    <pivotCache cacheId="226" r:id="rId17"/>
    <pivotCache cacheId="259" r:id="rId18"/>
    <pivotCache cacheId="265" r:id="rId19"/>
    <pivotCache cacheId="304" r:id="rId20"/>
    <pivotCache cacheId="369" r:id="rId21"/>
    <pivotCache cacheId="372" r:id="rId22"/>
    <pivotCache cacheId="451" r:id="rId23"/>
    <pivotCache cacheId="454" r:id="rId24"/>
    <pivotCache cacheId="457" r:id="rId25"/>
    <pivotCache cacheId="460" r:id="rId26"/>
    <pivotCache cacheId="463" r:id="rId27"/>
    <pivotCache cacheId="466" r:id="rId28"/>
    <pivotCache cacheId="469" r:id="rId29"/>
    <pivotCache cacheId="508" r:id="rId30"/>
    <pivotCache cacheId="511" r:id="rId31"/>
  </pivotCaches>
  <extLst>
    <ext xmlns:x14="http://schemas.microsoft.com/office/spreadsheetml/2009/9/main" uri="{876F7934-8845-4945-9796-88D515C7AA90}">
      <x14:pivotCaches>
        <pivotCache cacheId="207" r:id="rId32"/>
        <pivotCache cacheId="229" r:id="rId33"/>
        <pivotCache cacheId="242" r:id="rId34"/>
        <pivotCache cacheId="246" r:id="rId35"/>
        <pivotCache cacheId="250" r:id="rId36"/>
      </x14:pivotCaches>
    </ext>
    <ext xmlns:x14="http://schemas.microsoft.com/office/spreadsheetml/2009/9/main" uri="{BBE1A952-AA13-448e-AADC-164F8A28A991}">
      <x14:slicerCaches>
        <x14:slicerCache r:id="rId37"/>
        <x14:slicerCache r:id="rId38"/>
        <x14:slicerCache r:id="rId39"/>
        <x14:slicerCache r:id="rId40"/>
        <x14:slicerCache r:id="rId41"/>
        <x14:slicerCache r:id="rId42"/>
        <x14:slicerCache r:id="rId43"/>
        <x14:slicerCache r:id="rId44"/>
        <x14:slicerCache r:id="rId45"/>
        <x14:slicerCache r:id="rId46"/>
        <x14:slicerCache r:id="rId47"/>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startup_data_2c90bad4-9b75-4981-8d2b-88f0edc45abf" name="startup_data" connection="Query - startup_data"/>
          <x15:modelTable id="startup_data 1" name="startup_data 1" connection="WorksheetConnection_startup_data.xlsx!startup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 i="4" l="1"/>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O6" i="16" a="1"/>
  <c r="O6" i="16" s="1"/>
  <c r="N6" i="16" a="1"/>
  <c r="N6" i="16" s="1"/>
  <c r="I5" i="16" a="1"/>
  <c r="I5" i="16" s="1"/>
  <c r="H5" i="16" a="1"/>
  <c r="H5" i="16" s="1"/>
  <c r="F5" i="16" a="1"/>
  <c r="F5" i="16" s="1"/>
  <c r="E5" i="16" a="1"/>
  <c r="E5" i="1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9ABECF-D3CC-4FFD-BD3E-7F7037EF8009}" keepAlive="1" name="ModelConnection_startup_data_1" description="Data Model" type="5" refreshedVersion="8" minRefreshableVersion="5" saveData="1">
    <dbPr connection="Data Model Connection" command="startup_data" commandType="3"/>
    <extLst>
      <ext xmlns:x15="http://schemas.microsoft.com/office/spreadsheetml/2010/11/main" uri="{DE250136-89BD-433C-8126-D09CA5730AF9}">
        <x15:connection id="" model="1"/>
      </ext>
    </extLst>
  </connection>
  <connection id="2" xr16:uid="{F90086DB-F802-4013-95F2-3020E398DCE9}" keepAlive="1" name="ModelConnection_startup_data_11" description="Data Model" type="5" refreshedVersion="8" minRefreshableVersion="5" saveData="1">
    <dbPr connection="Data Model Connection" command="startup_data" commandType="3"/>
    <extLst>
      <ext xmlns:x15="http://schemas.microsoft.com/office/spreadsheetml/2010/11/main" uri="{DE250136-89BD-433C-8126-D09CA5730AF9}">
        <x15:connection id="" model="1"/>
      </ext>
    </extLst>
  </connection>
  <connection id="3" xr16:uid="{1AD0B9C2-890A-4AB6-BAE3-5CB6020F8B4D}" name="Query - startup_data" description="Connection to the 'startup_data' query in the workbook." type="100" refreshedVersion="8" minRefreshableVersion="5">
    <extLst>
      <ext xmlns:x15="http://schemas.microsoft.com/office/spreadsheetml/2010/11/main" uri="{DE250136-89BD-433C-8126-D09CA5730AF9}">
        <x15:connection id="af0b1014-c260-483b-9c12-0e6e219ed24a"/>
      </ext>
    </extLst>
  </connection>
  <connection id="4" xr16:uid="{BBE1DD4A-712D-4EF1-8860-33A31B91B3A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6904E492-110D-49C4-A86B-3E519CB12AA1}" name="WorksheetConnection_startup_data.xlsx!startup_data" type="102" refreshedVersion="8" minRefreshableVersion="5">
    <extLst>
      <ext xmlns:x15="http://schemas.microsoft.com/office/spreadsheetml/2010/11/main" uri="{DE250136-89BD-433C-8126-D09CA5730AF9}">
        <x15:connection id="startup_data 1">
          <x15:rangePr sourceName="_xlcn.WorksheetConnection_startup_data.xlsxstartup_data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<sst xmlns="http://schemas.openxmlformats.org/spreadsheetml/2006/main" count="4704" uniqueCount="558">
  <si>
    <t>Startup Name</t>
  </si>
  <si>
    <t>Industry</t>
  </si>
  <si>
    <t>Funding Rounds</t>
  </si>
  <si>
    <t>Employees</t>
  </si>
  <si>
    <t>Market Share (%)</t>
  </si>
  <si>
    <t>Profitable</t>
  </si>
  <si>
    <t>Year Founded</t>
  </si>
  <si>
    <t>Region</t>
  </si>
  <si>
    <t>Exit Status</t>
  </si>
  <si>
    <t>Startup_1</t>
  </si>
  <si>
    <t>IoT</t>
  </si>
  <si>
    <t>Europe</t>
  </si>
  <si>
    <t>Private</t>
  </si>
  <si>
    <t>Startup_2</t>
  </si>
  <si>
    <t>EdTech</t>
  </si>
  <si>
    <t>South America</t>
  </si>
  <si>
    <t>Startup_3</t>
  </si>
  <si>
    <t>Startup_4</t>
  </si>
  <si>
    <t>Gaming</t>
  </si>
  <si>
    <t>Startup_5</t>
  </si>
  <si>
    <t>Acquired</t>
  </si>
  <si>
    <t>Startup_6</t>
  </si>
  <si>
    <t>AI</t>
  </si>
  <si>
    <t>IPO</t>
  </si>
  <si>
    <t>Startup_7</t>
  </si>
  <si>
    <t>Australia</t>
  </si>
  <si>
    <t>Startup_8</t>
  </si>
  <si>
    <t>HealthTech</t>
  </si>
  <si>
    <t>Startup_9</t>
  </si>
  <si>
    <t>North America</t>
  </si>
  <si>
    <t>Startup_10</t>
  </si>
  <si>
    <t>FinTech</t>
  </si>
  <si>
    <t>Startup_11</t>
  </si>
  <si>
    <t>Startup_12</t>
  </si>
  <si>
    <t>Startup_13</t>
  </si>
  <si>
    <t>Startup_14</t>
  </si>
  <si>
    <t>Cybersecurity</t>
  </si>
  <si>
    <t>Startup_15</t>
  </si>
  <si>
    <t>Asia</t>
  </si>
  <si>
    <t>Startup_16</t>
  </si>
  <si>
    <t>Startup_17</t>
  </si>
  <si>
    <t>Startup_18</t>
  </si>
  <si>
    <t>Startup_19</t>
  </si>
  <si>
    <t>Startup_20</t>
  </si>
  <si>
    <t>Startup_21</t>
  </si>
  <si>
    <t>Startup_22</t>
  </si>
  <si>
    <t>Startup_23</t>
  </si>
  <si>
    <t>Startup_24</t>
  </si>
  <si>
    <t>Startup_25</t>
  </si>
  <si>
    <t>Startup_26</t>
  </si>
  <si>
    <t>Startup_27</t>
  </si>
  <si>
    <t>Startup_28</t>
  </si>
  <si>
    <t>Startup_29</t>
  </si>
  <si>
    <t>Startup_30</t>
  </si>
  <si>
    <t>Startup_31</t>
  </si>
  <si>
    <t>Startup_32</t>
  </si>
  <si>
    <t>Startup_33</t>
  </si>
  <si>
    <t>Startup_34</t>
  </si>
  <si>
    <t>Startup_35</t>
  </si>
  <si>
    <t>Startup_36</t>
  </si>
  <si>
    <t>Startup_37</t>
  </si>
  <si>
    <t>Startup_38</t>
  </si>
  <si>
    <t>Startup_39</t>
  </si>
  <si>
    <t>Startup_40</t>
  </si>
  <si>
    <t>Startup_41</t>
  </si>
  <si>
    <t>Startup_42</t>
  </si>
  <si>
    <t>Startup_43</t>
  </si>
  <si>
    <t>Startup_44</t>
  </si>
  <si>
    <t>Startup_45</t>
  </si>
  <si>
    <t>Startup_46</t>
  </si>
  <si>
    <t>Startup_47</t>
  </si>
  <si>
    <t>Startup_48</t>
  </si>
  <si>
    <t>E-Commerce</t>
  </si>
  <si>
    <t>Startup_49</t>
  </si>
  <si>
    <t>Startup_50</t>
  </si>
  <si>
    <t>Startup_51</t>
  </si>
  <si>
    <t>Startup_52</t>
  </si>
  <si>
    <t>Startup_53</t>
  </si>
  <si>
    <t>Startup_54</t>
  </si>
  <si>
    <t>Startup_55</t>
  </si>
  <si>
    <t>Startup_56</t>
  </si>
  <si>
    <t>Startup_57</t>
  </si>
  <si>
    <t>Startup_58</t>
  </si>
  <si>
    <t>Startup_59</t>
  </si>
  <si>
    <t>Startup_60</t>
  </si>
  <si>
    <t>Startup_61</t>
  </si>
  <si>
    <t>Startup_62</t>
  </si>
  <si>
    <t>Startup_63</t>
  </si>
  <si>
    <t>Startup_64</t>
  </si>
  <si>
    <t>Startup_65</t>
  </si>
  <si>
    <t>Startup_66</t>
  </si>
  <si>
    <t>Startup_67</t>
  </si>
  <si>
    <t>Startup_68</t>
  </si>
  <si>
    <t>Startup_69</t>
  </si>
  <si>
    <t>Startup_70</t>
  </si>
  <si>
    <t>Startup_71</t>
  </si>
  <si>
    <t>Startup_72</t>
  </si>
  <si>
    <t>Startup_73</t>
  </si>
  <si>
    <t>Startup_74</t>
  </si>
  <si>
    <t>Startup_75</t>
  </si>
  <si>
    <t>Startup_76</t>
  </si>
  <si>
    <t>Startup_77</t>
  </si>
  <si>
    <t>Startup_78</t>
  </si>
  <si>
    <t>Startup_79</t>
  </si>
  <si>
    <t>Startup_80</t>
  </si>
  <si>
    <t>Startup_81</t>
  </si>
  <si>
    <t>Startup_82</t>
  </si>
  <si>
    <t>Startup_83</t>
  </si>
  <si>
    <t>Startup_84</t>
  </si>
  <si>
    <t>Startup_85</t>
  </si>
  <si>
    <t>Startup_86</t>
  </si>
  <si>
    <t>Startup_87</t>
  </si>
  <si>
    <t>Startup_88</t>
  </si>
  <si>
    <t>Startup_89</t>
  </si>
  <si>
    <t>Startup_90</t>
  </si>
  <si>
    <t>Startup_91</t>
  </si>
  <si>
    <t>Startup_92</t>
  </si>
  <si>
    <t>Startup_93</t>
  </si>
  <si>
    <t>Startup_94</t>
  </si>
  <si>
    <t>Startup_95</t>
  </si>
  <si>
    <t>Startup_96</t>
  </si>
  <si>
    <t>Startup_97</t>
  </si>
  <si>
    <t>Startup_98</t>
  </si>
  <si>
    <t>Startup_99</t>
  </si>
  <si>
    <t>Startup_100</t>
  </si>
  <si>
    <t>Startup_101</t>
  </si>
  <si>
    <t>Startup_102</t>
  </si>
  <si>
    <t>Startup_103</t>
  </si>
  <si>
    <t>Startup_104</t>
  </si>
  <si>
    <t>Startup_105</t>
  </si>
  <si>
    <t>Startup_106</t>
  </si>
  <si>
    <t>Startup_107</t>
  </si>
  <si>
    <t>Startup_108</t>
  </si>
  <si>
    <t>Startup_109</t>
  </si>
  <si>
    <t>Startup_110</t>
  </si>
  <si>
    <t>Startup_111</t>
  </si>
  <si>
    <t>Startup_112</t>
  </si>
  <si>
    <t>Startup_113</t>
  </si>
  <si>
    <t>Startup_114</t>
  </si>
  <si>
    <t>Startup_115</t>
  </si>
  <si>
    <t>Startup_116</t>
  </si>
  <si>
    <t>Startup_117</t>
  </si>
  <si>
    <t>Startup_118</t>
  </si>
  <si>
    <t>Startup_119</t>
  </si>
  <si>
    <t>Startup_120</t>
  </si>
  <si>
    <t>Startup_121</t>
  </si>
  <si>
    <t>Startup_122</t>
  </si>
  <si>
    <t>Startup_123</t>
  </si>
  <si>
    <t>Startup_124</t>
  </si>
  <si>
    <t>Startup_125</t>
  </si>
  <si>
    <t>Startup_126</t>
  </si>
  <si>
    <t>Startup_127</t>
  </si>
  <si>
    <t>Startup_128</t>
  </si>
  <si>
    <t>Startup_129</t>
  </si>
  <si>
    <t>Startup_130</t>
  </si>
  <si>
    <t>Startup_131</t>
  </si>
  <si>
    <t>Startup_132</t>
  </si>
  <si>
    <t>Startup_133</t>
  </si>
  <si>
    <t>Startup_134</t>
  </si>
  <si>
    <t>Startup_135</t>
  </si>
  <si>
    <t>Startup_136</t>
  </si>
  <si>
    <t>Startup_137</t>
  </si>
  <si>
    <t>Startup_138</t>
  </si>
  <si>
    <t>Startup_139</t>
  </si>
  <si>
    <t>Startup_140</t>
  </si>
  <si>
    <t>Startup_141</t>
  </si>
  <si>
    <t>Startup_142</t>
  </si>
  <si>
    <t>Startup_143</t>
  </si>
  <si>
    <t>Startup_144</t>
  </si>
  <si>
    <t>Startup_145</t>
  </si>
  <si>
    <t>Startup_146</t>
  </si>
  <si>
    <t>Startup_147</t>
  </si>
  <si>
    <t>Startup_148</t>
  </si>
  <si>
    <t>Startup_149</t>
  </si>
  <si>
    <t>Startup_150</t>
  </si>
  <si>
    <t>Startup_151</t>
  </si>
  <si>
    <t>Startup_152</t>
  </si>
  <si>
    <t>Startup_153</t>
  </si>
  <si>
    <t>Startup_154</t>
  </si>
  <si>
    <t>Startup_155</t>
  </si>
  <si>
    <t>Startup_156</t>
  </si>
  <si>
    <t>Startup_157</t>
  </si>
  <si>
    <t>Startup_158</t>
  </si>
  <si>
    <t>Startup_159</t>
  </si>
  <si>
    <t>Startup_160</t>
  </si>
  <si>
    <t>Startup_161</t>
  </si>
  <si>
    <t>Startup_162</t>
  </si>
  <si>
    <t>Startup_163</t>
  </si>
  <si>
    <t>Startup_164</t>
  </si>
  <si>
    <t>Startup_165</t>
  </si>
  <si>
    <t>Startup_166</t>
  </si>
  <si>
    <t>Startup_167</t>
  </si>
  <si>
    <t>Startup_168</t>
  </si>
  <si>
    <t>Startup_169</t>
  </si>
  <si>
    <t>Startup_170</t>
  </si>
  <si>
    <t>Startup_171</t>
  </si>
  <si>
    <t>Startup_172</t>
  </si>
  <si>
    <t>Startup_173</t>
  </si>
  <si>
    <t>Startup_174</t>
  </si>
  <si>
    <t>Startup_175</t>
  </si>
  <si>
    <t>Startup_176</t>
  </si>
  <si>
    <t>Startup_177</t>
  </si>
  <si>
    <t>Startup_178</t>
  </si>
  <si>
    <t>Startup_179</t>
  </si>
  <si>
    <t>Startup_180</t>
  </si>
  <si>
    <t>Startup_181</t>
  </si>
  <si>
    <t>Startup_182</t>
  </si>
  <si>
    <t>Startup_183</t>
  </si>
  <si>
    <t>Startup_184</t>
  </si>
  <si>
    <t>Startup_185</t>
  </si>
  <si>
    <t>Startup_186</t>
  </si>
  <si>
    <t>Startup_187</t>
  </si>
  <si>
    <t>Startup_188</t>
  </si>
  <si>
    <t>Startup_189</t>
  </si>
  <si>
    <t>Startup_190</t>
  </si>
  <si>
    <t>Startup_191</t>
  </si>
  <si>
    <t>Startup_192</t>
  </si>
  <si>
    <t>Startup_193</t>
  </si>
  <si>
    <t>Startup_194</t>
  </si>
  <si>
    <t>Startup_195</t>
  </si>
  <si>
    <t>Startup_196</t>
  </si>
  <si>
    <t>Startup_197</t>
  </si>
  <si>
    <t>Startup_198</t>
  </si>
  <si>
    <t>Startup_199</t>
  </si>
  <si>
    <t>Startup_200</t>
  </si>
  <si>
    <t>Startup_201</t>
  </si>
  <si>
    <t>Startup_202</t>
  </si>
  <si>
    <t>Startup_203</t>
  </si>
  <si>
    <t>Startup_204</t>
  </si>
  <si>
    <t>Startup_205</t>
  </si>
  <si>
    <t>Startup_206</t>
  </si>
  <si>
    <t>Startup_207</t>
  </si>
  <si>
    <t>Startup_208</t>
  </si>
  <si>
    <t>Startup_209</t>
  </si>
  <si>
    <t>Startup_210</t>
  </si>
  <si>
    <t>Startup_211</t>
  </si>
  <si>
    <t>Startup_212</t>
  </si>
  <si>
    <t>Startup_213</t>
  </si>
  <si>
    <t>Startup_214</t>
  </si>
  <si>
    <t>Startup_215</t>
  </si>
  <si>
    <t>Startup_216</t>
  </si>
  <si>
    <t>Startup_217</t>
  </si>
  <si>
    <t>Startup_218</t>
  </si>
  <si>
    <t>Startup_219</t>
  </si>
  <si>
    <t>Startup_220</t>
  </si>
  <si>
    <t>Startup_221</t>
  </si>
  <si>
    <t>Startup_222</t>
  </si>
  <si>
    <t>Startup_223</t>
  </si>
  <si>
    <t>Startup_224</t>
  </si>
  <si>
    <t>Startup_225</t>
  </si>
  <si>
    <t>Startup_226</t>
  </si>
  <si>
    <t>Startup_227</t>
  </si>
  <si>
    <t>Startup_228</t>
  </si>
  <si>
    <t>Startup_229</t>
  </si>
  <si>
    <t>Startup_230</t>
  </si>
  <si>
    <t>Startup_231</t>
  </si>
  <si>
    <t>Startup_232</t>
  </si>
  <si>
    <t>Startup_233</t>
  </si>
  <si>
    <t>Startup_234</t>
  </si>
  <si>
    <t>Startup_235</t>
  </si>
  <si>
    <t>Startup_236</t>
  </si>
  <si>
    <t>Startup_237</t>
  </si>
  <si>
    <t>Startup_238</t>
  </si>
  <si>
    <t>Startup_239</t>
  </si>
  <si>
    <t>Startup_240</t>
  </si>
  <si>
    <t>Startup_241</t>
  </si>
  <si>
    <t>Startup_242</t>
  </si>
  <si>
    <t>Startup_243</t>
  </si>
  <si>
    <t>Startup_244</t>
  </si>
  <si>
    <t>Startup_245</t>
  </si>
  <si>
    <t>Startup_246</t>
  </si>
  <si>
    <t>Startup_247</t>
  </si>
  <si>
    <t>Startup_248</t>
  </si>
  <si>
    <t>Startup_249</t>
  </si>
  <si>
    <t>Startup_250</t>
  </si>
  <si>
    <t>Startup_251</t>
  </si>
  <si>
    <t>Startup_252</t>
  </si>
  <si>
    <t>Startup_253</t>
  </si>
  <si>
    <t>Startup_254</t>
  </si>
  <si>
    <t>Startup_255</t>
  </si>
  <si>
    <t>Startup_256</t>
  </si>
  <si>
    <t>Startup_257</t>
  </si>
  <si>
    <t>Startup_258</t>
  </si>
  <si>
    <t>Startup_259</t>
  </si>
  <si>
    <t>Startup_260</t>
  </si>
  <si>
    <t>Startup_261</t>
  </si>
  <si>
    <t>Startup_262</t>
  </si>
  <si>
    <t>Startup_263</t>
  </si>
  <si>
    <t>Startup_264</t>
  </si>
  <si>
    <t>Startup_265</t>
  </si>
  <si>
    <t>Startup_266</t>
  </si>
  <si>
    <t>Startup_267</t>
  </si>
  <si>
    <t>Startup_268</t>
  </si>
  <si>
    <t>Startup_269</t>
  </si>
  <si>
    <t>Startup_270</t>
  </si>
  <si>
    <t>Startup_271</t>
  </si>
  <si>
    <t>Startup_272</t>
  </si>
  <si>
    <t>Startup_273</t>
  </si>
  <si>
    <t>Startup_274</t>
  </si>
  <si>
    <t>Startup_275</t>
  </si>
  <si>
    <t>Startup_276</t>
  </si>
  <si>
    <t>Startup_277</t>
  </si>
  <si>
    <t>Startup_278</t>
  </si>
  <si>
    <t>Startup_279</t>
  </si>
  <si>
    <t>Startup_280</t>
  </si>
  <si>
    <t>Startup_281</t>
  </si>
  <si>
    <t>Startup_282</t>
  </si>
  <si>
    <t>Startup_283</t>
  </si>
  <si>
    <t>Startup_284</t>
  </si>
  <si>
    <t>Startup_285</t>
  </si>
  <si>
    <t>Startup_286</t>
  </si>
  <si>
    <t>Startup_287</t>
  </si>
  <si>
    <t>Startup_288</t>
  </si>
  <si>
    <t>Startup_289</t>
  </si>
  <si>
    <t>Startup_290</t>
  </si>
  <si>
    <t>Startup_291</t>
  </si>
  <si>
    <t>Startup_292</t>
  </si>
  <si>
    <t>Startup_293</t>
  </si>
  <si>
    <t>Startup_294</t>
  </si>
  <si>
    <t>Startup_295</t>
  </si>
  <si>
    <t>Startup_296</t>
  </si>
  <si>
    <t>Startup_297</t>
  </si>
  <si>
    <t>Startup_298</t>
  </si>
  <si>
    <t>Startup_299</t>
  </si>
  <si>
    <t>Startup_300</t>
  </si>
  <si>
    <t>Startup_301</t>
  </si>
  <si>
    <t>Startup_302</t>
  </si>
  <si>
    <t>Startup_303</t>
  </si>
  <si>
    <t>Startup_304</t>
  </si>
  <si>
    <t>Startup_305</t>
  </si>
  <si>
    <t>Startup_306</t>
  </si>
  <si>
    <t>Startup_307</t>
  </si>
  <si>
    <t>Startup_308</t>
  </si>
  <si>
    <t>Startup_309</t>
  </si>
  <si>
    <t>Startup_310</t>
  </si>
  <si>
    <t>Startup_311</t>
  </si>
  <si>
    <t>Startup_312</t>
  </si>
  <si>
    <t>Startup_313</t>
  </si>
  <si>
    <t>Startup_314</t>
  </si>
  <si>
    <t>Startup_315</t>
  </si>
  <si>
    <t>Startup_316</t>
  </si>
  <si>
    <t>Startup_317</t>
  </si>
  <si>
    <t>Startup_318</t>
  </si>
  <si>
    <t>Startup_319</t>
  </si>
  <si>
    <t>Startup_320</t>
  </si>
  <si>
    <t>Startup_321</t>
  </si>
  <si>
    <t>Startup_322</t>
  </si>
  <si>
    <t>Startup_323</t>
  </si>
  <si>
    <t>Startup_324</t>
  </si>
  <si>
    <t>Startup_325</t>
  </si>
  <si>
    <t>Startup_326</t>
  </si>
  <si>
    <t>Startup_327</t>
  </si>
  <si>
    <t>Startup_328</t>
  </si>
  <si>
    <t>Startup_329</t>
  </si>
  <si>
    <t>Startup_330</t>
  </si>
  <si>
    <t>Startup_331</t>
  </si>
  <si>
    <t>Startup_332</t>
  </si>
  <si>
    <t>Startup_333</t>
  </si>
  <si>
    <t>Startup_334</t>
  </si>
  <si>
    <t>Startup_335</t>
  </si>
  <si>
    <t>Startup_336</t>
  </si>
  <si>
    <t>Startup_337</t>
  </si>
  <si>
    <t>Startup_338</t>
  </si>
  <si>
    <t>Startup_339</t>
  </si>
  <si>
    <t>Startup_340</t>
  </si>
  <si>
    <t>Startup_341</t>
  </si>
  <si>
    <t>Startup_342</t>
  </si>
  <si>
    <t>Startup_343</t>
  </si>
  <si>
    <t>Startup_344</t>
  </si>
  <si>
    <t>Startup_345</t>
  </si>
  <si>
    <t>Startup_346</t>
  </si>
  <si>
    <t>Startup_347</t>
  </si>
  <si>
    <t>Startup_348</t>
  </si>
  <si>
    <t>Startup_349</t>
  </si>
  <si>
    <t>Startup_350</t>
  </si>
  <si>
    <t>Startup_351</t>
  </si>
  <si>
    <t>Startup_352</t>
  </si>
  <si>
    <t>Startup_353</t>
  </si>
  <si>
    <t>Startup_354</t>
  </si>
  <si>
    <t>Startup_355</t>
  </si>
  <si>
    <t>Startup_356</t>
  </si>
  <si>
    <t>Startup_357</t>
  </si>
  <si>
    <t>Startup_358</t>
  </si>
  <si>
    <t>Startup_359</t>
  </si>
  <si>
    <t>Startup_360</t>
  </si>
  <si>
    <t>Startup_361</t>
  </si>
  <si>
    <t>Startup_362</t>
  </si>
  <si>
    <t>Startup_363</t>
  </si>
  <si>
    <t>Startup_364</t>
  </si>
  <si>
    <t>Startup_365</t>
  </si>
  <si>
    <t>Startup_366</t>
  </si>
  <si>
    <t>Startup_367</t>
  </si>
  <si>
    <t>Startup_368</t>
  </si>
  <si>
    <t>Startup_369</t>
  </si>
  <si>
    <t>Startup_370</t>
  </si>
  <si>
    <t>Startup_371</t>
  </si>
  <si>
    <t>Startup_372</t>
  </si>
  <si>
    <t>Startup_373</t>
  </si>
  <si>
    <t>Startup_374</t>
  </si>
  <si>
    <t>Startup_375</t>
  </si>
  <si>
    <t>Startup_376</t>
  </si>
  <si>
    <t>Startup_377</t>
  </si>
  <si>
    <t>Startup_378</t>
  </si>
  <si>
    <t>Startup_379</t>
  </si>
  <si>
    <t>Startup_380</t>
  </si>
  <si>
    <t>Startup_381</t>
  </si>
  <si>
    <t>Startup_382</t>
  </si>
  <si>
    <t>Startup_383</t>
  </si>
  <si>
    <t>Startup_384</t>
  </si>
  <si>
    <t>Startup_385</t>
  </si>
  <si>
    <t>Startup_386</t>
  </si>
  <si>
    <t>Startup_387</t>
  </si>
  <si>
    <t>Startup_388</t>
  </si>
  <si>
    <t>Startup_389</t>
  </si>
  <si>
    <t>Startup_390</t>
  </si>
  <si>
    <t>Startup_391</t>
  </si>
  <si>
    <t>Startup_392</t>
  </si>
  <si>
    <t>Startup_393</t>
  </si>
  <si>
    <t>Startup_394</t>
  </si>
  <si>
    <t>Startup_395</t>
  </si>
  <si>
    <t>Startup_396</t>
  </si>
  <si>
    <t>Startup_397</t>
  </si>
  <si>
    <t>Startup_398</t>
  </si>
  <si>
    <t>Startup_399</t>
  </si>
  <si>
    <t>Startup_400</t>
  </si>
  <si>
    <t>Startup_401</t>
  </si>
  <si>
    <t>Startup_402</t>
  </si>
  <si>
    <t>Startup_403</t>
  </si>
  <si>
    <t>Startup_404</t>
  </si>
  <si>
    <t>Startup_405</t>
  </si>
  <si>
    <t>Startup_406</t>
  </si>
  <si>
    <t>Startup_407</t>
  </si>
  <si>
    <t>Startup_408</t>
  </si>
  <si>
    <t>Startup_409</t>
  </si>
  <si>
    <t>Startup_410</t>
  </si>
  <si>
    <t>Startup_411</t>
  </si>
  <si>
    <t>Startup_412</t>
  </si>
  <si>
    <t>Startup_413</t>
  </si>
  <si>
    <t>Startup_414</t>
  </si>
  <si>
    <t>Startup_415</t>
  </si>
  <si>
    <t>Startup_416</t>
  </si>
  <si>
    <t>Startup_417</t>
  </si>
  <si>
    <t>Startup_418</t>
  </si>
  <si>
    <t>Startup_419</t>
  </si>
  <si>
    <t>Startup_420</t>
  </si>
  <si>
    <t>Startup_421</t>
  </si>
  <si>
    <t>Startup_422</t>
  </si>
  <si>
    <t>Startup_423</t>
  </si>
  <si>
    <t>Startup_424</t>
  </si>
  <si>
    <t>Startup_425</t>
  </si>
  <si>
    <t>Startup_426</t>
  </si>
  <si>
    <t>Startup_427</t>
  </si>
  <si>
    <t>Startup_428</t>
  </si>
  <si>
    <t>Startup_429</t>
  </si>
  <si>
    <t>Startup_430</t>
  </si>
  <si>
    <t>Startup_431</t>
  </si>
  <si>
    <t>Startup_432</t>
  </si>
  <si>
    <t>Startup_433</t>
  </si>
  <si>
    <t>Startup_434</t>
  </si>
  <si>
    <t>Startup_435</t>
  </si>
  <si>
    <t>Startup_436</t>
  </si>
  <si>
    <t>Startup_437</t>
  </si>
  <si>
    <t>Startup_438</t>
  </si>
  <si>
    <t>Startup_439</t>
  </si>
  <si>
    <t>Startup_440</t>
  </si>
  <si>
    <t>Startup_441</t>
  </si>
  <si>
    <t>Startup_442</t>
  </si>
  <si>
    <t>Startup_443</t>
  </si>
  <si>
    <t>Startup_444</t>
  </si>
  <si>
    <t>Startup_445</t>
  </si>
  <si>
    <t>Startup_446</t>
  </si>
  <si>
    <t>Startup_447</t>
  </si>
  <si>
    <t>Startup_448</t>
  </si>
  <si>
    <t>Startup_449</t>
  </si>
  <si>
    <t>Startup_450</t>
  </si>
  <si>
    <t>Startup_451</t>
  </si>
  <si>
    <t>Startup_452</t>
  </si>
  <si>
    <t>Startup_453</t>
  </si>
  <si>
    <t>Startup_454</t>
  </si>
  <si>
    <t>Startup_455</t>
  </si>
  <si>
    <t>Startup_456</t>
  </si>
  <si>
    <t>Startup_457</t>
  </si>
  <si>
    <t>Startup_458</t>
  </si>
  <si>
    <t>Startup_459</t>
  </si>
  <si>
    <t>Startup_460</t>
  </si>
  <si>
    <t>Startup_461</t>
  </si>
  <si>
    <t>Startup_462</t>
  </si>
  <si>
    <t>Startup_463</t>
  </si>
  <si>
    <t>Startup_464</t>
  </si>
  <si>
    <t>Startup_465</t>
  </si>
  <si>
    <t>Startup_466</t>
  </si>
  <si>
    <t>Startup_467</t>
  </si>
  <si>
    <t>Startup_468</t>
  </si>
  <si>
    <t>Startup_469</t>
  </si>
  <si>
    <t>Startup_470</t>
  </si>
  <si>
    <t>Startup_471</t>
  </si>
  <si>
    <t>Startup_472</t>
  </si>
  <si>
    <t>Startup_473</t>
  </si>
  <si>
    <t>Startup_474</t>
  </si>
  <si>
    <t>Startup_475</t>
  </si>
  <si>
    <t>Startup_476</t>
  </si>
  <si>
    <t>Startup_477</t>
  </si>
  <si>
    <t>Startup_478</t>
  </si>
  <si>
    <t>Startup_479</t>
  </si>
  <si>
    <t>Startup_480</t>
  </si>
  <si>
    <t>Startup_481</t>
  </si>
  <si>
    <t>Startup_482</t>
  </si>
  <si>
    <t>Startup_483</t>
  </si>
  <si>
    <t>Startup_484</t>
  </si>
  <si>
    <t>Startup_485</t>
  </si>
  <si>
    <t>Startup_486</t>
  </si>
  <si>
    <t>Startup_487</t>
  </si>
  <si>
    <t>Startup_488</t>
  </si>
  <si>
    <t>Startup_489</t>
  </si>
  <si>
    <t>Startup_490</t>
  </si>
  <si>
    <t>Startup_491</t>
  </si>
  <si>
    <t>Startup_492</t>
  </si>
  <si>
    <t>Startup_493</t>
  </si>
  <si>
    <t>Startup_494</t>
  </si>
  <si>
    <t>Startup_495</t>
  </si>
  <si>
    <t>Startup_496</t>
  </si>
  <si>
    <t>Startup_497</t>
  </si>
  <si>
    <t>Startup_498</t>
  </si>
  <si>
    <t>Startup_499</t>
  </si>
  <si>
    <t>Startup_500</t>
  </si>
  <si>
    <t>Funding Amount</t>
  </si>
  <si>
    <t>Valuation</t>
  </si>
  <si>
    <t>Revenue</t>
  </si>
  <si>
    <t>Grand Total</t>
  </si>
  <si>
    <t>Row Labels</t>
  </si>
  <si>
    <t>Sum of Funding Amount</t>
  </si>
  <si>
    <t>GroupByDimension</t>
  </si>
  <si>
    <t>Choice of Lookup</t>
  </si>
  <si>
    <t>Average of Funding Rounds</t>
  </si>
  <si>
    <t>ValuationToFundingRatio</t>
  </si>
  <si>
    <t>Average of ValuationToFundingRatio</t>
  </si>
  <si>
    <t>Sum of Revenue</t>
  </si>
  <si>
    <t>RevenuePerEmployee</t>
  </si>
  <si>
    <t>Average of RevenuePerEmployee</t>
  </si>
  <si>
    <t>Sum of Market Share (%)</t>
  </si>
  <si>
    <t>Average of Funding Amount</t>
  </si>
  <si>
    <t>Column Labels</t>
  </si>
  <si>
    <t>Profitability of Startups</t>
  </si>
  <si>
    <t>Non Profitable</t>
  </si>
  <si>
    <t>Market Share differences by Region</t>
  </si>
  <si>
    <t>Funding Insights</t>
  </si>
  <si>
    <t>Growth and Revenue Insights</t>
  </si>
  <si>
    <t>Profit Analysis Insights</t>
  </si>
  <si>
    <t>Regional Breakdown</t>
  </si>
  <si>
    <t>Industry Numbers by Region</t>
  </si>
  <si>
    <t>Sum of Valuation</t>
  </si>
  <si>
    <t>Count of Industry</t>
  </si>
  <si>
    <t>Percentage of Profitable Startups</t>
  </si>
  <si>
    <t>Count of Startup Name</t>
  </si>
  <si>
    <t>Exit Strategy</t>
  </si>
  <si>
    <t>Startup Age</t>
  </si>
  <si>
    <t>Are Newer Startups getting more Funding?</t>
  </si>
  <si>
    <t>Revenue Growth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</si>
</sst>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164" formatCode="_([$$-409]* #,##0.00_);_([$$-409]* \(#,##0.00\);_([$$-409]* &quot;-&quot;??_);_(@_)"/>
    <numFmt numFmtId="165" formatCode="\$#,##0.00;\(\$#,##0.00\);\$#,##0.00"/>
    <numFmt numFmtId="166" formatCode="&quot;$&quot;#,##0.00"/>
    <numFmt numFmtId="167" formatCode="&quot;$&quot;0.00,,,&quot;B&quot;"/>
    <numFmt numFmtId="168" formatCode="0.00&quot;%&quot;"/>
    <numFmt numFmtId="169" formatCode="&quot;$&quot;0.00,,&quot;M&quot;"/>
  </numFmts>
  <fonts count="23"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1"/>
      <color rgb="FF006100"/>
      <name val="Aptos Narrow"/>
      <family val="2"/>
      <scheme val="minor"/>
    </font>
    <font>
      <b/>
      <sz val="20"/>
      <color theme="1"/>
      <name val="Aptos Display"/>
      <family val="2"/>
      <scheme val="major"/>
    </font>
    <font>
      <b/>
      <sz val="22"/>
      <color theme="1"/>
      <name val="Aptos Narrow"/>
      <family val="2"/>
      <scheme val="minor"/>
    </font>
    <font>
      <sz val="11"/>
      <color theme="1"/>
      <name val="Aptos Display"/>
      <family val="2"/>
      <scheme val="major"/>
    </font>
    <font>
      <b/>
      <sz val="22"/>
      <color theme="1"/>
      <name val="Aptos Display"/>
      <family val="2"/>
      <scheme val="maj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gradientFill degree="90">
        <stop position="0">
          <color theme="9"/>
        </stop>
        <stop position="1">
          <color theme="4"/>
        </stop>
      </gradientFill>
    </fill>
    <fill>
      <gradientFill degree="90">
        <stop position="0">
          <color theme="4"/>
        </stop>
        <stop position="1">
          <color theme="9"/>
        </stop>
      </gradientFill>
    </fill>
    <fill>
      <gradientFill degree="270">
        <stop position="0">
          <color theme="4"/>
        </stop>
        <stop position="1">
          <color theme="5"/>
        </stop>
      </gradient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rgb="FF3F3F3F"/>
      </bottom>
      <diagonal/>
    </border>
    <border>
      <left/>
      <right/>
      <top style="double">
        <color rgb="FF3F3F3F"/>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47">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xf numFmtId="9" fontId="1" fillId="0" borderId="0" applyFont="0" applyFill="0" applyBorder="0" applyAlignment="0" applyProtection="0"/>
    <xf numFmtId="49" fontId="19" fillId="33" borderId="0">
      <alignment horizontal="center" vertical="center"/>
    </xf>
    <xf numFmtId="49" fontId="19" fillId="34" borderId="0"/>
    <xf numFmtId="49" fontId="19" fillId="35" borderId="12">
      <alignment horizontal="center" vertical="center"/>
    </xf>
  </cellStyleXfs>
  <cellXfs count="62">
    <xf numFmtId="0" fontId="0" fillId="0" borderId="0" xfId="0"/>
    <xf numFmtId="164" fontId="0" fillId="0" borderId="0" xfId="42" applyNumberFormat="1" applyFont="1"/>
    <xf numFmtId="164" fontId="0" fillId="0" borderId="0" xfId="0" applyNumberFormat="1"/>
    <xf numFmtId="10" fontId="0" fillId="0" borderId="0" xfId="43" applyNumberFormat="1" applyFont="1"/>
    <xf numFmtId="0" fontId="0" fillId="0" borderId="0" xfId="0" pivotButton="1"/>
    <xf numFmtId="0" fontId="0" fillId="0" borderId="0" xfId="0" applyAlignment="1">
      <alignment horizontal="left"/>
    </xf>
    <xf numFmtId="2" fontId="0" fillId="0" borderId="0" xfId="0" applyNumberFormat="1"/>
    <xf numFmtId="165" fontId="0" fillId="0" borderId="0" xfId="0" applyNumberFormat="1"/>
    <xf numFmtId="166" fontId="0" fillId="0" borderId="0" xfId="0" applyNumberFormat="1"/>
    <xf numFmtId="9" fontId="0" fillId="0" borderId="0" xfId="0" applyNumberFormat="1"/>
    <xf numFmtId="44" fontId="0" fillId="0" borderId="0" xfId="42" applyFont="1"/>
    <xf numFmtId="44" fontId="0" fillId="0" borderId="0" xfId="0" applyNumberFormat="1"/>
    <xf numFmtId="167" fontId="0" fillId="0" borderId="0" xfId="0" applyNumberFormat="1"/>
    <xf numFmtId="168" fontId="0" fillId="0" borderId="0" xfId="0" applyNumberFormat="1"/>
    <xf numFmtId="10" fontId="0" fillId="0" borderId="0" xfId="0" applyNumberFormat="1"/>
    <xf numFmtId="0" fontId="16" fillId="0" borderId="0" xfId="0" applyFont="1"/>
    <xf numFmtId="169" fontId="0" fillId="0" borderId="0" xfId="42" applyNumberFormat="1" applyFont="1"/>
    <xf numFmtId="0" fontId="18" fillId="2" borderId="10" xfId="6" applyFont="1" applyBorder="1" applyAlignment="1">
      <alignment horizontal="center"/>
    </xf>
    <xf numFmtId="0" fontId="6" fillId="2" borderId="10" xfId="6" applyBorder="1" applyAlignment="1">
      <alignment horizontal="center"/>
    </xf>
    <xf numFmtId="0" fontId="13" fillId="7" borderId="11" xfId="13" applyBorder="1" applyAlignment="1" applyProtection="1">
      <alignment horizontal="center" vertical="center"/>
      <protection locked="0"/>
    </xf>
    <xf numFmtId="0" fontId="13" fillId="7" borderId="0" xfId="13" applyBorder="1" applyAlignment="1" applyProtection="1">
      <alignment horizontal="center" vertical="center"/>
      <protection locked="0"/>
    </xf>
    <xf numFmtId="49" fontId="19" fillId="33" borderId="19" xfId="44" applyBorder="1">
      <alignment horizontal="center" vertical="center"/>
    </xf>
    <xf numFmtId="49" fontId="19" fillId="33" borderId="20" xfId="44" applyBorder="1">
      <alignment horizontal="center" vertical="center"/>
    </xf>
    <xf numFmtId="49" fontId="19" fillId="33" borderId="21" xfId="44" applyBorder="1">
      <alignment horizontal="center" vertical="center"/>
    </xf>
    <xf numFmtId="49" fontId="19" fillId="33" borderId="22" xfId="44" applyBorder="1">
      <alignment horizontal="center" vertical="center"/>
    </xf>
    <xf numFmtId="49" fontId="19" fillId="33" borderId="23" xfId="44" applyBorder="1">
      <alignment horizontal="center" vertical="center"/>
    </xf>
    <xf numFmtId="49" fontId="19" fillId="33" borderId="24" xfId="44" applyBorder="1">
      <alignment horizontal="center" vertical="center"/>
    </xf>
    <xf numFmtId="49" fontId="19" fillId="34" borderId="19" xfId="45" applyBorder="1" applyAlignment="1">
      <alignment horizontal="center" vertical="center"/>
    </xf>
    <xf numFmtId="49" fontId="19" fillId="34" borderId="20" xfId="45" applyBorder="1" applyAlignment="1">
      <alignment horizontal="center" vertical="center"/>
    </xf>
    <xf numFmtId="49" fontId="19" fillId="34" borderId="21" xfId="45" applyBorder="1" applyAlignment="1">
      <alignment horizontal="center" vertical="center"/>
    </xf>
    <xf numFmtId="49" fontId="19" fillId="34" borderId="25" xfId="45" applyBorder="1" applyAlignment="1">
      <alignment horizontal="center" vertical="center"/>
    </xf>
    <xf numFmtId="49" fontId="19" fillId="34" borderId="12" xfId="45" applyBorder="1" applyAlignment="1">
      <alignment horizontal="center" vertical="center"/>
    </xf>
    <xf numFmtId="49" fontId="19" fillId="34" borderId="26" xfId="45" applyBorder="1" applyAlignment="1">
      <alignment horizontal="center" vertical="center"/>
    </xf>
    <xf numFmtId="49" fontId="19" fillId="34" borderId="22" xfId="45" applyBorder="1" applyAlignment="1">
      <alignment horizontal="center" vertical="center"/>
    </xf>
    <xf numFmtId="49" fontId="19" fillId="34" borderId="23" xfId="45" applyBorder="1" applyAlignment="1">
      <alignment horizontal="center" vertical="center"/>
    </xf>
    <xf numFmtId="49" fontId="19" fillId="34" borderId="24" xfId="45" applyBorder="1" applyAlignment="1">
      <alignment horizontal="center" vertical="center"/>
    </xf>
    <xf numFmtId="49" fontId="19" fillId="35" borderId="19" xfId="46" applyBorder="1">
      <alignment horizontal="center" vertical="center"/>
    </xf>
    <xf numFmtId="49" fontId="19" fillId="35" borderId="20" xfId="46" applyBorder="1">
      <alignment horizontal="center" vertical="center"/>
    </xf>
    <xf numFmtId="49" fontId="19" fillId="35" borderId="21" xfId="46" applyBorder="1">
      <alignment horizontal="center" vertical="center"/>
    </xf>
    <xf numFmtId="49" fontId="19" fillId="35" borderId="25" xfId="46" applyBorder="1">
      <alignment horizontal="center" vertical="center"/>
    </xf>
    <xf numFmtId="49" fontId="19" fillId="35" borderId="12" xfId="46">
      <alignment horizontal="center" vertical="center"/>
    </xf>
    <xf numFmtId="49" fontId="19" fillId="35" borderId="26" xfId="46" applyBorder="1">
      <alignment horizontal="center" vertical="center"/>
    </xf>
    <xf numFmtId="49" fontId="19" fillId="35" borderId="22" xfId="46" applyBorder="1">
      <alignment horizontal="center" vertical="center"/>
    </xf>
    <xf numFmtId="49" fontId="19" fillId="35" borderId="23" xfId="46" applyBorder="1">
      <alignment horizontal="center" vertical="center"/>
    </xf>
    <xf numFmtId="49" fontId="19" fillId="35" borderId="24" xfId="46" applyBorder="1">
      <alignment horizontal="center" vertical="center"/>
    </xf>
    <xf numFmtId="0" fontId="13" fillId="7" borderId="7" xfId="13" applyAlignment="1" applyProtection="1">
      <alignment horizontal="center" vertical="center"/>
      <protection locked="0"/>
    </xf>
    <xf numFmtId="49" fontId="20" fillId="23" borderId="13" xfId="32" applyNumberFormat="1" applyFont="1" applyBorder="1" applyAlignment="1">
      <alignment horizontal="center" vertical="center"/>
    </xf>
    <xf numFmtId="49" fontId="20" fillId="23" borderId="14" xfId="32" applyNumberFormat="1" applyFont="1" applyBorder="1" applyAlignment="1">
      <alignment horizontal="center" vertical="center"/>
    </xf>
    <xf numFmtId="49" fontId="20" fillId="23" borderId="15" xfId="32" applyNumberFormat="1" applyFont="1" applyBorder="1" applyAlignment="1">
      <alignment horizontal="center" vertical="center"/>
    </xf>
    <xf numFmtId="49" fontId="20" fillId="23" borderId="16" xfId="32" applyNumberFormat="1" applyFont="1" applyBorder="1" applyAlignment="1">
      <alignment horizontal="center" vertical="center"/>
    </xf>
    <xf numFmtId="49" fontId="20" fillId="23" borderId="17" xfId="32" applyNumberFormat="1" applyFont="1" applyBorder="1" applyAlignment="1">
      <alignment horizontal="center" vertical="center"/>
    </xf>
    <xf numFmtId="49" fontId="20" fillId="23" borderId="18" xfId="32" applyNumberFormat="1" applyFont="1" applyBorder="1" applyAlignment="1">
      <alignment horizontal="center" vertical="center"/>
    </xf>
    <xf numFmtId="49" fontId="22" fillId="12" borderId="19" xfId="21" applyNumberFormat="1" applyFont="1" applyBorder="1" applyAlignment="1">
      <alignment horizontal="center" vertical="center"/>
    </xf>
    <xf numFmtId="49" fontId="21" fillId="12" borderId="20" xfId="21" applyNumberFormat="1" applyFont="1" applyBorder="1" applyAlignment="1">
      <alignment horizontal="center" vertical="center"/>
    </xf>
    <xf numFmtId="49" fontId="21" fillId="12" borderId="21" xfId="21" applyNumberFormat="1" applyFont="1" applyBorder="1" applyAlignment="1">
      <alignment horizontal="center" vertical="center"/>
    </xf>
    <xf numFmtId="49" fontId="21" fillId="12" borderId="25" xfId="21" applyNumberFormat="1" applyFont="1" applyBorder="1" applyAlignment="1">
      <alignment horizontal="center" vertical="center"/>
    </xf>
    <xf numFmtId="49" fontId="21" fillId="12" borderId="12" xfId="21" applyNumberFormat="1" applyFont="1" applyBorder="1" applyAlignment="1">
      <alignment horizontal="center" vertical="center"/>
    </xf>
    <xf numFmtId="49" fontId="21" fillId="12" borderId="26" xfId="21" applyNumberFormat="1" applyFont="1" applyBorder="1" applyAlignment="1">
      <alignment horizontal="center" vertical="center"/>
    </xf>
    <xf numFmtId="49" fontId="21" fillId="12" borderId="22" xfId="21" applyNumberFormat="1" applyFont="1" applyBorder="1" applyAlignment="1">
      <alignment horizontal="center" vertical="center"/>
    </xf>
    <xf numFmtId="49" fontId="21" fillId="12" borderId="23" xfId="21" applyNumberFormat="1" applyFont="1" applyBorder="1" applyAlignment="1">
      <alignment horizontal="center" vertical="center"/>
    </xf>
    <xf numFmtId="49" fontId="21" fillId="12" borderId="24" xfId="21" applyNumberFormat="1" applyFont="1" applyBorder="1" applyAlignment="1">
      <alignment horizontal="center" vertical="center"/>
    </xf>
    <xf numFmtId="0" fontId="0" fillId="0" borderId="0" xfId="0" applyNumberFormat="1"/>
  </cellXfs>
  <cellStyles count="4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Style 1" xfId="44" xr:uid="{D57E135D-3140-4CC7-BE7A-52D92947ACC4}"/>
    <cellStyle name="Style 2" xfId="45" xr:uid="{3E0ADE60-C0D4-4545-B1BD-D079915F7B97}"/>
    <cellStyle name="Style 3" xfId="46" xr:uid="{1CB1A543-812F-4E36-94DD-2167DE8B165B}"/>
    <cellStyle name="Title" xfId="1" builtinId="15" customBuiltin="1"/>
    <cellStyle name="Total" xfId="17" builtinId="25" customBuiltin="1"/>
    <cellStyle name="Warning Text" xfId="14" builtinId="11" customBuiltin="1"/>
  </cellStyles>
  <dxfs count="31">
    <dxf>
      <numFmt numFmtId="2" formatCode="0.00"/>
    </dxf>
    <dxf>
      <numFmt numFmtId="2" formatCode="0.00"/>
    </dxf>
    <dxf>
      <numFmt numFmtId="167" formatCode="&quot;$&quot;0.00,,,&quot;B&quot;"/>
    </dxf>
    <dxf>
      <numFmt numFmtId="167" formatCode="&quot;$&quot;0.00,,,&quot;B&quot;"/>
    </dxf>
    <dxf>
      <numFmt numFmtId="167" formatCode="&quot;$&quot;0.00,,,&quot;B&quot;"/>
    </dxf>
    <dxf>
      <numFmt numFmtId="167" formatCode="&quot;$&quot;0.00,,,&quot;B&quot;"/>
    </dxf>
    <dxf>
      <numFmt numFmtId="168" formatCode="0.00&quot;%&quot;"/>
    </dxf>
    <dxf>
      <alignment vertical="center"/>
    </dxf>
    <dxf>
      <alignment horizontal="center"/>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66" formatCode="&quot;$&quot;#,##0.00"/>
    </dxf>
    <dxf>
      <numFmt numFmtId="166" formatCode="&quot;$&quot;#,##0.00"/>
    </dxf>
    <dxf>
      <numFmt numFmtId="13" formatCode="0%"/>
    </dxf>
    <dxf>
      <numFmt numFmtId="166" formatCode="&quot;$&quot;#,##0.00"/>
    </dxf>
    <dxf>
      <numFmt numFmtId="166" formatCode="&quot;$&quot;#,##0.00"/>
    </dxf>
    <dxf>
      <numFmt numFmtId="0" formatCode="General"/>
    </dxf>
    <dxf>
      <numFmt numFmtId="0" formatCode="General"/>
    </dxf>
    <dxf>
      <font>
        <b/>
        <i val="0"/>
        <strike val="0"/>
        <name val="Aptos Display"/>
        <family val="2"/>
        <scheme val="major"/>
      </font>
      <border>
        <left style="thin">
          <color auto="1"/>
        </left>
        <right style="thin">
          <color auto="1"/>
        </right>
        <top style="thin">
          <color auto="1"/>
        </top>
        <bottom/>
      </border>
    </dxf>
    <dxf>
      <border>
        <left style="thin">
          <color auto="1"/>
        </left>
        <right style="thin">
          <color auto="1"/>
        </right>
        <top style="thin">
          <color auto="1"/>
        </top>
        <bottom style="thin">
          <color auto="1"/>
        </bottom>
      </border>
    </dxf>
    <dxf>
      <font>
        <b/>
        <i val="0"/>
        <strike val="0"/>
        <u/>
      </font>
      <border>
        <left style="thin">
          <color auto="1"/>
        </left>
        <right style="thin">
          <color auto="1"/>
        </right>
        <top style="thin">
          <color auto="1"/>
        </top>
        <bottom/>
      </border>
    </dxf>
    <dxf>
      <border>
        <left style="thin">
          <color auto="1"/>
        </left>
        <right style="thin">
          <color auto="1"/>
        </right>
        <top style="thin">
          <color auto="1"/>
        </top>
        <bottom style="thin">
          <color auto="1"/>
        </bottom>
      </border>
    </dxf>
    <dxf>
      <font>
        <b/>
        <i val="0"/>
      </font>
      <fill>
        <patternFill patternType="none">
          <fgColor auto="1"/>
          <bgColor auto="1"/>
        </patternFill>
      </fill>
      <border>
        <left/>
        <right/>
        <top style="thin">
          <color auto="1"/>
        </top>
        <bottom style="thin">
          <color auto="1"/>
        </bottom>
      </border>
    </dxf>
    <dxf>
      <border>
        <left style="thin">
          <color auto="1"/>
        </left>
        <right style="thin">
          <color auto="1"/>
        </right>
        <top style="thin">
          <color auto="1"/>
        </top>
        <bottom style="thin">
          <color auto="1"/>
        </bottom>
      </border>
    </dxf>
    <dxf>
      <font>
        <b/>
        <i val="0"/>
      </font>
      <border>
        <left/>
        <right/>
        <top/>
        <bottom style="thin">
          <color auto="1"/>
        </bottom>
      </border>
    </dxf>
    <dxf>
      <border>
        <left style="thin">
          <color auto="1"/>
        </left>
        <right style="thin">
          <color auto="1"/>
        </right>
        <top style="thin">
          <color auto="1"/>
        </top>
        <bottom style="thin">
          <color auto="1"/>
        </bottom>
      </border>
    </dxf>
    <dxf>
      <font>
        <b/>
        <i val="0"/>
      </font>
      <border>
        <left/>
        <right/>
        <top/>
        <bottom style="thin">
          <color auto="1"/>
        </bottom>
      </border>
    </dxf>
    <dxf>
      <border>
        <left style="thin">
          <color auto="1"/>
        </left>
        <right style="thin">
          <color auto="1"/>
        </right>
        <top style="thin">
          <color auto="1"/>
        </top>
        <bottom style="thin">
          <color auto="1"/>
        </bottom>
      </border>
    </dxf>
    <dxf>
      <fill>
        <gradientFill degree="90">
          <stop position="0">
            <color theme="5"/>
          </stop>
          <stop position="1">
            <color theme="4"/>
          </stop>
        </gradientFill>
      </fill>
    </dxf>
    <dxf>
      <fill>
        <gradientFill degree="90">
          <stop position="0">
            <color theme="4"/>
          </stop>
          <stop position="1">
            <color theme="5"/>
          </stop>
        </gradientFill>
      </fill>
    </dxf>
  </dxfs>
  <tableStyles count="8" defaultTableStyle="TableStyleMedium2" defaultPivotStyle="PivotStyleLight16">
    <tableStyle name="Slicer Style 1" pivot="0" table="0" count="1" xr9:uid="{F7DBBFE1-6E0A-4B47-B6A1-BD68CB1AC17D}">
      <tableStyleElement type="wholeTable" dxfId="30"/>
    </tableStyle>
    <tableStyle name="Slicer Style 2" pivot="0" table="0" count="1" xr9:uid="{50B9ABC0-D5AF-4E83-B4B1-9DE2F45E36C9}">
      <tableStyleElement type="wholeTable" dxfId="29"/>
    </tableStyle>
    <tableStyle name="Slicer Style 3" pivot="0" table="0" count="1" xr9:uid="{41D3BD67-BF7C-40E4-9D99-6DB6823BD1DD}"/>
    <tableStyle name="Slicer Style 4" pivot="0" table="0" count="4" xr9:uid="{744B59B3-41CD-422E-930B-D862C42B07E7}">
      <tableStyleElement type="wholeTable" dxfId="28"/>
      <tableStyleElement type="headerRow" dxfId="27"/>
    </tableStyle>
    <tableStyle name="Slicer Style 5" pivot="0" table="0" count="4" xr9:uid="{5CFDF991-6794-44F7-A490-635CF7E4160F}">
      <tableStyleElement type="wholeTable" dxfId="26"/>
      <tableStyleElement type="headerRow" dxfId="25"/>
    </tableStyle>
    <tableStyle name="Slicer Style 6" pivot="0" table="0" count="4" xr9:uid="{C4857B41-DC78-472F-86A9-7A0438CB8D18}">
      <tableStyleElement type="wholeTable" dxfId="24"/>
      <tableStyleElement type="headerRow" dxfId="23"/>
    </tableStyle>
    <tableStyle name="Slicer Style 7" pivot="0" table="0" count="4" xr9:uid="{0300D8A1-9EE0-4FDD-A700-7F9F47005914}">
      <tableStyleElement type="wholeTable" dxfId="22"/>
      <tableStyleElement type="headerRow" dxfId="21"/>
    </tableStyle>
    <tableStyle name="Slicer Style 8" pivot="0" table="0" count="4" xr9:uid="{634C8F0A-C0DB-4506-838A-54B4DDB8F39F}">
      <tableStyleElement type="wholeTable" dxfId="20"/>
      <tableStyleElement type="headerRow" dxfId="19"/>
    </tableStyle>
  </tableStyles>
  <extLst>
    <ext xmlns:x14="http://schemas.microsoft.com/office/spreadsheetml/2009/9/main" uri="{46F421CA-312F-682f-3DD2-61675219B42D}">
      <x14:dxfs count="11">
        <dxf>
          <fill>
            <gradientFill degree="90">
              <stop position="0">
                <color theme="5"/>
              </stop>
              <stop position="1">
                <color theme="4"/>
              </stop>
            </gradient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gradientFill degree="90">
              <stop position="0">
                <color theme="5"/>
              </stop>
              <stop position="1">
                <color theme="4"/>
              </stop>
            </gradient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gradientFill degree="90">
              <stop position="0">
                <color theme="5"/>
              </stop>
              <stop position="1">
                <color theme="4"/>
              </stop>
            </gradient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gradientFill degree="90">
              <stop position="0">
                <color theme="5"/>
              </stop>
              <stop position="1">
                <color theme="4"/>
              </stop>
            </gradient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b val="0"/>
            <i val="0"/>
            <strike val="0"/>
          </font>
          <fill>
            <gradientFill degree="90">
              <stop position="0">
                <color theme="5"/>
              </stop>
              <stop position="1">
                <color theme="4"/>
              </stop>
            </gradientFill>
          </fill>
          <border>
            <left style="thin">
              <color auto="1"/>
            </left>
            <right style="thin">
              <color auto="1"/>
            </right>
            <top style="thin">
              <color auto="1"/>
            </top>
            <bottom style="thin">
              <color auto="1"/>
            </bottom>
            <horizontal/>
          </border>
        </dxf>
        <dxf>
          <border>
            <left style="thin">
              <color auto="1"/>
            </left>
            <right style="thin">
              <color auto="1"/>
            </right>
            <top style="thin">
              <color auto="1"/>
            </top>
            <bottom style="thin">
              <color auto="1"/>
            </bottom>
          </border>
        </dxf>
        <dxf>
          <fill>
            <gradientFill degree="90">
              <stop position="0">
                <color theme="5"/>
              </stop>
              <stop position="1">
                <color theme="4"/>
              </stop>
            </gradient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selectedItemWithData" dxfId="10"/>
          </x14:slicerStyleElements>
        </x14:slicerStyle>
        <x14:slicerStyle name="Slicer Style 4">
          <x14:slicerStyleElements>
            <x14:slicerStyleElement type="unselectedItemWithData" dxfId="9"/>
            <x14:slicerStyleElement type="selectedItemWithData" dxfId="8"/>
          </x14:slicerStyleElements>
        </x14:slicerStyle>
        <x14:slicerStyle name="Slicer Style 5">
          <x14:slicerStyleElements>
            <x14:slicerStyleElement type="unselectedItemWithData" dxfId="7"/>
            <x14:slicerStyleElement type="selectedItemWithData" dxfId="6"/>
          </x14:slicerStyleElements>
        </x14:slicerStyle>
        <x14:slicerStyle name="Slicer Style 6">
          <x14:slicerStyleElements>
            <x14:slicerStyleElement type="unselectedItemWithData" dxfId="5"/>
            <x14:slicerStyleElement type="selectedItemWithData" dxfId="4"/>
          </x14:slicerStyleElements>
        </x14:slicerStyle>
        <x14:slicerStyle name="Slicer Style 7">
          <x14:slicerStyleElements>
            <x14:slicerStyleElement type="unselectedItemWithData" dxfId="3"/>
            <x14:slicerStyleElement type="selectedItemWithData" dxfId="2"/>
          </x14:slicerStyleElements>
        </x14:slicerStyle>
        <x14:slicerStyle name="Slicer Style 8">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2.xml"/><Relationship Id="rId21" Type="http://schemas.openxmlformats.org/officeDocument/2006/relationships/pivotCacheDefinition" Target="pivotCache/pivotCacheDefinition7.xml"/><Relationship Id="rId42" Type="http://schemas.microsoft.com/office/2007/relationships/slicerCache" Target="slicerCaches/slicerCache6.xml"/><Relationship Id="rId47" Type="http://schemas.microsoft.com/office/2007/relationships/slicerCache" Target="slicerCaches/slicerCache11.xml"/><Relationship Id="rId63" Type="http://schemas.openxmlformats.org/officeDocument/2006/relationships/customXml" Target="../customXml/item9.xml"/><Relationship Id="rId68" Type="http://schemas.openxmlformats.org/officeDocument/2006/relationships/customXml" Target="../customXml/item14.xml"/><Relationship Id="rId84" Type="http://schemas.openxmlformats.org/officeDocument/2006/relationships/customXml" Target="../customXml/item30.xml"/><Relationship Id="rId89" Type="http://schemas.openxmlformats.org/officeDocument/2006/relationships/customXml" Target="../customXml/item35.xml"/><Relationship Id="rId16" Type="http://schemas.openxmlformats.org/officeDocument/2006/relationships/pivotCacheDefinition" Target="pivotCache/pivotCacheDefinition2.xml"/><Relationship Id="rId11" Type="http://schemas.openxmlformats.org/officeDocument/2006/relationships/worksheet" Target="worksheets/sheet11.xml"/><Relationship Id="rId32" Type="http://schemas.openxmlformats.org/officeDocument/2006/relationships/pivotCacheDefinition" Target="pivotCache/pivotCacheDefinition18.xml"/><Relationship Id="rId37" Type="http://schemas.microsoft.com/office/2007/relationships/slicerCache" Target="slicerCaches/slicerCache1.xml"/><Relationship Id="rId53" Type="http://schemas.openxmlformats.org/officeDocument/2006/relationships/powerPivotData" Target="model/item.data"/><Relationship Id="rId58" Type="http://schemas.openxmlformats.org/officeDocument/2006/relationships/customXml" Target="../customXml/item4.xml"/><Relationship Id="rId74" Type="http://schemas.openxmlformats.org/officeDocument/2006/relationships/customXml" Target="../customXml/item20.xml"/><Relationship Id="rId79" Type="http://schemas.openxmlformats.org/officeDocument/2006/relationships/customXml" Target="../customXml/item25.xml"/><Relationship Id="rId5" Type="http://schemas.openxmlformats.org/officeDocument/2006/relationships/worksheet" Target="worksheets/sheet5.xml"/><Relationship Id="rId90" Type="http://schemas.microsoft.com/office/2006/relationships/vbaProject" Target="vbaProject.bin"/><Relationship Id="rId14" Type="http://schemas.openxmlformats.org/officeDocument/2006/relationships/worksheet" Target="worksheets/sheet14.xml"/><Relationship Id="rId22" Type="http://schemas.openxmlformats.org/officeDocument/2006/relationships/pivotCacheDefinition" Target="pivotCache/pivotCacheDefinition8.xml"/><Relationship Id="rId27" Type="http://schemas.openxmlformats.org/officeDocument/2006/relationships/pivotCacheDefinition" Target="pivotCache/pivotCacheDefinition13.xml"/><Relationship Id="rId30" Type="http://schemas.openxmlformats.org/officeDocument/2006/relationships/pivotCacheDefinition" Target="pivotCache/pivotCacheDefinition16.xml"/><Relationship Id="rId35" Type="http://schemas.openxmlformats.org/officeDocument/2006/relationships/pivotCacheDefinition" Target="pivotCache/pivotCacheDefinition21.xml"/><Relationship Id="rId43" Type="http://schemas.microsoft.com/office/2007/relationships/slicerCache" Target="slicerCaches/slicerCache7.xml"/><Relationship Id="rId48" Type="http://schemas.openxmlformats.org/officeDocument/2006/relationships/theme" Target="theme/theme1.xml"/><Relationship Id="rId56" Type="http://schemas.openxmlformats.org/officeDocument/2006/relationships/customXml" Target="../customXml/item2.xml"/><Relationship Id="rId64" Type="http://schemas.openxmlformats.org/officeDocument/2006/relationships/customXml" Target="../customXml/item10.xml"/><Relationship Id="rId69" Type="http://schemas.openxmlformats.org/officeDocument/2006/relationships/customXml" Target="../customXml/item15.xml"/><Relationship Id="rId77"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sharedStrings" Target="sharedStrings.xml"/><Relationship Id="rId72" Type="http://schemas.openxmlformats.org/officeDocument/2006/relationships/customXml" Target="../customXml/item18.xml"/><Relationship Id="rId80" Type="http://schemas.openxmlformats.org/officeDocument/2006/relationships/customXml" Target="../customXml/item26.xml"/><Relationship Id="rId85" Type="http://schemas.openxmlformats.org/officeDocument/2006/relationships/customXml" Target="../customXml/item3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pivotCacheDefinition" Target="pivotCache/pivotCacheDefinition11.xml"/><Relationship Id="rId33" Type="http://schemas.openxmlformats.org/officeDocument/2006/relationships/pivotCacheDefinition" Target="pivotCache/pivotCacheDefinition19.xml"/><Relationship Id="rId38" Type="http://schemas.microsoft.com/office/2007/relationships/slicerCache" Target="slicerCaches/slicerCache2.xml"/><Relationship Id="rId46" Type="http://schemas.microsoft.com/office/2007/relationships/slicerCache" Target="slicerCaches/slicerCache10.xml"/><Relationship Id="rId59" Type="http://schemas.openxmlformats.org/officeDocument/2006/relationships/customXml" Target="../customXml/item5.xml"/><Relationship Id="rId67" Type="http://schemas.openxmlformats.org/officeDocument/2006/relationships/customXml" Target="../customXml/item13.xml"/><Relationship Id="rId20" Type="http://schemas.openxmlformats.org/officeDocument/2006/relationships/pivotCacheDefinition" Target="pivotCache/pivotCacheDefinition6.xml"/><Relationship Id="rId41" Type="http://schemas.microsoft.com/office/2007/relationships/slicerCache" Target="slicerCaches/slicerCache5.xml"/><Relationship Id="rId54" Type="http://schemas.openxmlformats.org/officeDocument/2006/relationships/calcChain" Target="calcChain.xml"/><Relationship Id="rId62" Type="http://schemas.openxmlformats.org/officeDocument/2006/relationships/customXml" Target="../customXml/item8.xml"/><Relationship Id="rId70" Type="http://schemas.openxmlformats.org/officeDocument/2006/relationships/customXml" Target="../customXml/item16.xml"/><Relationship Id="rId75" Type="http://schemas.openxmlformats.org/officeDocument/2006/relationships/customXml" Target="../customXml/item21.xml"/><Relationship Id="rId83" Type="http://schemas.openxmlformats.org/officeDocument/2006/relationships/customXml" Target="../customXml/item29.xml"/><Relationship Id="rId88" Type="http://schemas.openxmlformats.org/officeDocument/2006/relationships/customXml" Target="../customXml/item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1.xml"/><Relationship Id="rId23" Type="http://schemas.openxmlformats.org/officeDocument/2006/relationships/pivotCacheDefinition" Target="pivotCache/pivotCacheDefinition9.xml"/><Relationship Id="rId28" Type="http://schemas.openxmlformats.org/officeDocument/2006/relationships/pivotCacheDefinition" Target="pivotCache/pivotCacheDefinition14.xml"/><Relationship Id="rId36" Type="http://schemas.openxmlformats.org/officeDocument/2006/relationships/pivotCacheDefinition" Target="pivotCache/pivotCacheDefinition22.xml"/><Relationship Id="rId49" Type="http://schemas.openxmlformats.org/officeDocument/2006/relationships/connections" Target="connections.xml"/><Relationship Id="rId57" Type="http://schemas.openxmlformats.org/officeDocument/2006/relationships/customXml" Target="../customXml/item3.xml"/><Relationship Id="rId10" Type="http://schemas.openxmlformats.org/officeDocument/2006/relationships/worksheet" Target="worksheets/sheet10.xml"/><Relationship Id="rId31" Type="http://schemas.openxmlformats.org/officeDocument/2006/relationships/pivotCacheDefinition" Target="pivotCache/pivotCacheDefinition17.xml"/><Relationship Id="rId44" Type="http://schemas.microsoft.com/office/2007/relationships/slicerCache" Target="slicerCaches/slicerCache8.xml"/><Relationship Id="rId52" Type="http://schemas.openxmlformats.org/officeDocument/2006/relationships/sheetMetadata" Target="metadata.xml"/><Relationship Id="rId60" Type="http://schemas.openxmlformats.org/officeDocument/2006/relationships/customXml" Target="../customXml/item6.xml"/><Relationship Id="rId65" Type="http://schemas.openxmlformats.org/officeDocument/2006/relationships/customXml" Target="../customXml/item11.xml"/><Relationship Id="rId73" Type="http://schemas.openxmlformats.org/officeDocument/2006/relationships/customXml" Target="../customXml/item19.xml"/><Relationship Id="rId78" Type="http://schemas.openxmlformats.org/officeDocument/2006/relationships/customXml" Target="../customXml/item24.xml"/><Relationship Id="rId81" Type="http://schemas.openxmlformats.org/officeDocument/2006/relationships/customXml" Target="../customXml/item27.xml"/><Relationship Id="rId86"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39" Type="http://schemas.microsoft.com/office/2007/relationships/slicerCache" Target="slicerCaches/slicerCache3.xml"/><Relationship Id="rId34" Type="http://schemas.openxmlformats.org/officeDocument/2006/relationships/pivotCacheDefinition" Target="pivotCache/pivotCacheDefinition20.xml"/><Relationship Id="rId50" Type="http://schemas.openxmlformats.org/officeDocument/2006/relationships/styles" Target="styles.xml"/><Relationship Id="rId55" Type="http://schemas.openxmlformats.org/officeDocument/2006/relationships/customXml" Target="../customXml/item1.xml"/><Relationship Id="rId76" Type="http://schemas.openxmlformats.org/officeDocument/2006/relationships/customXml" Target="../customXml/item22.xml"/><Relationship Id="rId7" Type="http://schemas.openxmlformats.org/officeDocument/2006/relationships/worksheet" Target="worksheets/sheet7.xml"/><Relationship Id="rId71" Type="http://schemas.openxmlformats.org/officeDocument/2006/relationships/customXml" Target="../customXml/item17.xml"/><Relationship Id="rId2" Type="http://schemas.openxmlformats.org/officeDocument/2006/relationships/worksheet" Target="worksheets/sheet2.xml"/><Relationship Id="rId29" Type="http://schemas.openxmlformats.org/officeDocument/2006/relationships/pivotCacheDefinition" Target="pivotCache/pivotCacheDefinition15.xml"/><Relationship Id="rId24" Type="http://schemas.openxmlformats.org/officeDocument/2006/relationships/pivotCacheDefinition" Target="pivotCache/pivotCacheDefinition10.xml"/><Relationship Id="rId40" Type="http://schemas.microsoft.com/office/2007/relationships/slicerCache" Target="slicerCaches/slicerCache4.xml"/><Relationship Id="rId45" Type="http://schemas.microsoft.com/office/2007/relationships/slicerCache" Target="slicerCaches/slicerCache9.xml"/><Relationship Id="rId66" Type="http://schemas.openxmlformats.org/officeDocument/2006/relationships/customXml" Target="../customXml/item12.xml"/><Relationship Id="rId87" Type="http://schemas.openxmlformats.org/officeDocument/2006/relationships/customXml" Target="../customXml/item33.xml"/><Relationship Id="rId61" Type="http://schemas.openxmlformats.org/officeDocument/2006/relationships/customXml" Target="../customXml/item7.xml"/><Relationship Id="rId82" Type="http://schemas.openxmlformats.org/officeDocument/2006/relationships/customXml" Target="../customXml/item28.xml"/><Relationship Id="rId19" Type="http://schemas.openxmlformats.org/officeDocument/2006/relationships/pivotCacheDefinition" Target="pivotCache/pivotCacheDefinition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[Analysis_Workbook.xlsm]FI calculations!Top10Pivot</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50000"/>
                  </a:schemeClr>
                </a:solidFill>
              </a:rPr>
              <a:t>Top Funded</a:t>
            </a:r>
            <a:r>
              <a:rPr lang="en-US" b="1" baseline="0">
                <a:solidFill>
                  <a:schemeClr val="accent5">
                    <a:lumMod val="50000"/>
                  </a:schemeClr>
                </a:solidFill>
              </a:rPr>
              <a:t> Startups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60000"/>
              <a:lumOff val="40000"/>
            </a:schemeClr>
          </a:solidFill>
          <a:ln>
            <a:noFill/>
          </a:ln>
          <a:effectLst/>
        </c:spPr>
        <c:marker>
          <c:symbol val="none"/>
        </c:marker>
        <c:dLbl>
          <c:idx val="0"/>
          <c:numFmt formatCode="&quot;$&quot;0.00,,,&quot;B&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barChart>
        <c:barDir val="bar"/>
        <c:grouping val="clustered"/>
        <c:varyColors val="0"/>
        <c:ser>
          <c:idx val="0"/>
          <c:order val="0"/>
          <c:tx>
            <c:strRef>
              <c:f>'Funding Insights'!$D$5</c:f>
              <c:strCache>
                <c:ptCount val="1"/>
                <c:pt idx="0">
                  <c:v>Total</c:v>
                </c:pt>
              </c:strCache>
            </c:strRef>
          </c:tx>
          <c:spPr>
            <a:solidFill>
              <a:schemeClr val="accent6">
                <a:lumMod val="60000"/>
                <a:lumOff val="40000"/>
              </a:schemeClr>
            </a:solidFill>
            <a:ln>
              <a:noFill/>
            </a:ln>
            <a:effectLst/>
          </c:spPr>
          <c:invertIfNegative val="0"/>
          <c:dLbls>
            <c:numFmt formatCode="&quot;$&quot;0.00,,,&quot;B&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'Funding Insights'!$D$5</c:f>
              <c:strCache>
                <c:ptCount val="8"/>
                <c:pt idx="0">
                  <c:v>FinTech</c:v>
                </c:pt>
                <c:pt idx="1">
                  <c:v>E-Commerce</c:v>
                </c:pt>
                <c:pt idx="2">
                  <c:v>EdTech</c:v>
                </c:pt>
                <c:pt idx="3">
                  <c:v>Gaming</c:v>
                </c:pt>
                <c:pt idx="4">
                  <c:v>AI</c:v>
                </c:pt>
                <c:pt idx="5">
                  <c:v>IoT</c:v>
                </c:pt>
                <c:pt idx="6">
                  <c:v>Cybersecurity</c:v>
                </c:pt>
                <c:pt idx="7">
                  <c:v>HealthTech</c:v>
                </c:pt>
              </c:strCache>
            </c:strRef>
          </c:cat>
          <c:val>
            <c:numRef>
              <c:f>'Funding Insights'!$D$5</c:f>
              <c:numCache>
                <c:formatCode>General</c:formatCode>
                <c:ptCount val="8"/>
                <c:pt idx="0">
                  <c:v>11646430000</c:v>
                </c:pt>
                <c:pt idx="1">
                  <c:v>11524310000</c:v>
                </c:pt>
                <c:pt idx="2">
                  <c:v>11212130000</c:v>
                </c:pt>
                <c:pt idx="3">
                  <c:v>10735260000</c:v>
                </c:pt>
                <c:pt idx="4">
                  <c:v>8577050000</c:v>
                </c:pt>
                <c:pt idx="5">
                  <c:v>8049470000</c:v>
                </c:pt>
                <c:pt idx="6">
                  <c:v>7972310000</c:v>
                </c:pt>
                <c:pt idx="7">
                  <c:v>6611420000</c:v>
                </c:pt>
              </c:numCache>
            </c:numRef>
          </c:val>
          <c:extLst>
            <c:ext xmlns:c16="http://schemas.microsoft.com/office/drawing/2014/chart" uri="{C3380CC4-5D6E-409C-BE32-E72D297353CC}">
              <c16:uniqueId val="{00000000-0A29-4F20-80D0-F775A788202E}"/>
            </c:ext>
          </c:extLst>
        </c:ser>
        <c:dLbls>
          <c:dLblPos val="outEnd"/>
          <c:showLegendKey val="0"/>
          <c:showVal val="1"/>
          <c:showCatName val="0"/>
          <c:showSerName val="0"/>
          <c:showPercent val="0"/>
          <c:showBubbleSize val="0"/>
        </c:dLbls>
        <c:gapWidth val="182"/>
        <c:axId val="1403410815"/>
        <c:axId val="1403411295"/>
      </c:barChart>
      <c:catAx>
        <c:axId val="1403410815"/>
        <c:scaling>
          <c:orientation val="minMax"/>
        </c:scaling>
        <c:delete val="0"/>
        <c:axPos val="l"/>
        <c:title>
          <c:tx>
            <c:strRef>
              <c:f>'Funding Insights'!$D$5</c:f>
              <c:strCache>
                <c:ptCount val="1"/>
                <c:pt idx="0">
                  <c:v>Industry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95000"/>
                    <a:lumOff val="5000"/>
                  </a:schemeClr>
                </a:solidFill>
                <a:latin typeface="+mn-lt"/>
                <a:ea typeface="+mn-ea"/>
                <a:cs typeface="+mn-cs"/>
              </a:defRPr>
            </a:pPr>
            <a:endParaRPr lang="en-US"/>
          </a:p>
        </c:txPr>
        <c:crossAx val="1403411295"/>
        <c:crosses val="autoZero"/>
        <c:auto val="1"/>
        <c:lblAlgn val="ctr"/>
        <c:lblOffset val="100"/>
        <c:noMultiLvlLbl val="0"/>
      </c:catAx>
      <c:valAx>
        <c:axId val="140341129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Funding</a:t>
                </a:r>
                <a:r>
                  <a:rPr lang="en-US" baseline="0"/>
                  <a:t> Amount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quot;B&quot;"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95000"/>
                    <a:lumOff val="5000"/>
                  </a:schemeClr>
                </a:solidFill>
                <a:latin typeface="+mn-lt"/>
                <a:ea typeface="+mn-ea"/>
                <a:cs typeface="+mn-cs"/>
              </a:defRPr>
            </a:pPr>
            <a:endParaRPr lang="en-US"/>
          </a:p>
        </c:txPr>
        <c:crossAx val="14034108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[Analysis_Workbook.xlsm]FI calculations!PivotTable3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50000"/>
                  </a:schemeClr>
                </a:solidFill>
              </a:rPr>
              <a:t>Average</a:t>
            </a:r>
            <a:r>
              <a:rPr lang="en-US" b="1" baseline="0">
                <a:solidFill>
                  <a:schemeClr val="accent5">
                    <a:lumMod val="50000"/>
                  </a:schemeClr>
                </a:solidFill>
              </a:rPr>
              <a:t> Funding Rounds per Region</a:t>
            </a:r>
            <a:endParaRPr lang="en-US" b="1">
              <a:solidFill>
                <a:schemeClr val="accent5">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 calculations'!$H$7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 calculations'!$G$8:$G$13</c:f>
              <c:strCache>
                <c:ptCount val="5"/>
                <c:pt idx="0">
                  <c:v>Europe</c:v>
                </c:pt>
                <c:pt idx="1">
                  <c:v>Australia</c:v>
                </c:pt>
                <c:pt idx="2">
                  <c:v>North America</c:v>
                </c:pt>
                <c:pt idx="3">
                  <c:v>South America</c:v>
                </c:pt>
                <c:pt idx="4">
                  <c:v>Asia</c:v>
                </c:pt>
              </c:strCache>
            </c:strRef>
          </c:cat>
          <c:val>
            <c:numRef>
              <c:f>'FI calculations'!$H$8:$H$13</c:f>
              <c:numCache>
                <c:formatCode>0.00</c:formatCode>
                <c:ptCount val="5"/>
                <c:pt idx="0">
                  <c:v>3.1960784313725492</c:v>
                </c:pt>
                <c:pt idx="1">
                  <c:v>3.074074074074074</c:v>
                </c:pt>
                <c:pt idx="2">
                  <c:v>2.8762886597938144</c:v>
                </c:pt>
                <c:pt idx="3">
                  <c:v>2.8111111111111109</c:v>
                </c:pt>
                <c:pt idx="4">
                  <c:v>2.8058252427184467</c:v>
                </c:pt>
              </c:numCache>
            </c:numRef>
          </c:val>
          <c:extLst>
            <c:ext xmlns:c16="http://schemas.microsoft.com/office/drawing/2014/chart" uri="{C3380CC4-5D6E-409C-BE32-E72D297353CC}">
              <c16:uniqueId val="{00000000-53CF-4C74-A367-DA043D603EEA}"/>
            </c:ext>
          </c:extLst>
        </c:ser>
        <c:dLbls>
          <c:dLblPos val="outEnd"/>
          <c:showLegendKey val="0"/>
          <c:showVal val="1"/>
          <c:showCatName val="0"/>
          <c:showSerName val="0"/>
          <c:showPercent val="0"/>
          <c:showBubbleSize val="0"/>
        </c:dLbls>
        <c:gapWidth val="219"/>
        <c:overlap val="-27"/>
        <c:axId val="1647317312"/>
        <c:axId val="1647314432"/>
      </c:barChart>
      <c:catAx>
        <c:axId val="16473173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7314432"/>
        <c:crosses val="autoZero"/>
        <c:auto val="1"/>
        <c:lblAlgn val="ctr"/>
        <c:lblOffset val="100"/>
        <c:noMultiLvlLbl val="0"/>
      </c:catAx>
      <c:valAx>
        <c:axId val="1647314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Funding</a:t>
                </a:r>
                <a:r>
                  <a:rPr lang="en-US" baseline="0"/>
                  <a:t> Rounds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73173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[Analysis_Workbook.xlsm]FI calculations!PivotTable5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5">
                    <a:lumMod val="50000"/>
                  </a:schemeClr>
                </a:solidFill>
              </a:rPr>
              <a:t>Valuation</a:t>
            </a:r>
            <a:r>
              <a:rPr lang="en-US" b="1" baseline="0">
                <a:solidFill>
                  <a:schemeClr val="accent5">
                    <a:lumMod val="50000"/>
                  </a:schemeClr>
                </a:solidFill>
              </a:rPr>
              <a:t> To Funding Ratio</a:t>
            </a:r>
            <a:endParaRPr lang="en-US" b="1">
              <a:solidFill>
                <a:schemeClr val="accent5">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 calculations'!$O$5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 calculations'!$N$6:$N$14</c:f>
              <c:strCache>
                <c:ptCount val="8"/>
                <c:pt idx="0">
                  <c:v>AI</c:v>
                </c:pt>
                <c:pt idx="1">
                  <c:v>Cybersecurity</c:v>
                </c:pt>
                <c:pt idx="2">
                  <c:v>E-Commerce</c:v>
                </c:pt>
                <c:pt idx="3">
                  <c:v>EdTech</c:v>
                </c:pt>
                <c:pt idx="4">
                  <c:v>FinTech</c:v>
                </c:pt>
                <c:pt idx="5">
                  <c:v>Gaming</c:v>
                </c:pt>
                <c:pt idx="6">
                  <c:v>HealthTech</c:v>
                </c:pt>
                <c:pt idx="7">
                  <c:v>IoT</c:v>
                </c:pt>
              </c:strCache>
            </c:strRef>
          </c:cat>
          <c:val>
            <c:numRef>
              <c:f>'FI calculations'!$O$6:$O$14</c:f>
              <c:numCache>
                <c:formatCode>0.00</c:formatCode>
                <c:ptCount val="8"/>
                <c:pt idx="0">
                  <c:v>7.9493548387096773</c:v>
                </c:pt>
                <c:pt idx="1">
                  <c:v>8.9921568627450981</c:v>
                </c:pt>
                <c:pt idx="2">
                  <c:v>9.6647142857142843</c:v>
                </c:pt>
                <c:pt idx="3">
                  <c:v>8.8016216216216225</c:v>
                </c:pt>
                <c:pt idx="4">
                  <c:v>8.9728169014084482</c:v>
                </c:pt>
                <c:pt idx="5">
                  <c:v>8.9366129032258073</c:v>
                </c:pt>
                <c:pt idx="6">
                  <c:v>8.8253061224489784</c:v>
                </c:pt>
                <c:pt idx="7">
                  <c:v>9.0631147540983594</c:v>
                </c:pt>
              </c:numCache>
            </c:numRef>
          </c:val>
          <c:extLst>
            <c:ext xmlns:c16="http://schemas.microsoft.com/office/drawing/2014/chart" uri="{C3380CC4-5D6E-409C-BE32-E72D297353CC}">
              <c16:uniqueId val="{00000000-A479-4D63-A2FB-767DBE6FE6C9}"/>
            </c:ext>
          </c:extLst>
        </c:ser>
        <c:dLbls>
          <c:dLblPos val="outEnd"/>
          <c:showLegendKey val="0"/>
          <c:showVal val="1"/>
          <c:showCatName val="0"/>
          <c:showSerName val="0"/>
          <c:showPercent val="0"/>
          <c:showBubbleSize val="0"/>
        </c:dLbls>
        <c:gapWidth val="219"/>
        <c:overlap val="-27"/>
        <c:axId val="2107678239"/>
        <c:axId val="2107680639"/>
      </c:barChart>
      <c:catAx>
        <c:axId val="210767823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Industry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7680639"/>
        <c:crosses val="autoZero"/>
        <c:auto val="1"/>
        <c:lblAlgn val="ctr"/>
        <c:lblOffset val="100"/>
        <c:noMultiLvlLbl val="0"/>
      </c:catAx>
      <c:valAx>
        <c:axId val="21076806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V2F</a:t>
                </a:r>
                <a:r>
                  <a:rPr lang="en-US" baseline="0"/>
                  <a:t> ratio</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76782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aseline="0">
                <a:solidFill>
                  <a:schemeClr val="accent2">
                    <a:lumMod val="50000"/>
                  </a:schemeClr>
                </a:solidFill>
              </a:rPr>
              <a:t>Funding vs Revenue: Are big Funding driving higher Revenue? </a:t>
            </a:r>
            <a:endParaRPr lang="en-US" sz="1600">
              <a:solidFill>
                <a:schemeClr val="accent2">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rgbClr val="C00000"/>
                </a:solidFill>
                <a:prstDash val="sysDot"/>
              </a:ln>
              <a:effectLst/>
            </c:spPr>
            <c:trendlineType val="linear"/>
            <c:dispRSqr val="0"/>
            <c:dispEq val="0"/>
          </c:trendline>
          <c:xVal>
            <c:numRef>
              <c:f>[0]!x_axis</c:f>
              <c:numCache>
                <c:formatCode>\$#,##0.00;\(\$#,##0.00\);\$#,##0.00</c:formatCode>
                <c:ptCount val="500"/>
                <c:pt idx="0">
                  <c:v>101090000</c:v>
                </c:pt>
                <c:pt idx="1">
                  <c:v>66240000</c:v>
                </c:pt>
                <c:pt idx="2">
                  <c:v>191350000</c:v>
                </c:pt>
                <c:pt idx="3">
                  <c:v>294180000</c:v>
                </c:pt>
                <c:pt idx="4">
                  <c:v>271060000</c:v>
                </c:pt>
                <c:pt idx="5">
                  <c:v>194180000</c:v>
                </c:pt>
                <c:pt idx="6">
                  <c:v>208110000</c:v>
                </c:pt>
                <c:pt idx="7">
                  <c:v>15950000</c:v>
                </c:pt>
                <c:pt idx="8">
                  <c:v>201140000</c:v>
                </c:pt>
                <c:pt idx="9">
                  <c:v>13730000</c:v>
                </c:pt>
                <c:pt idx="10">
                  <c:v>176680000</c:v>
                </c:pt>
                <c:pt idx="11">
                  <c:v>299810000</c:v>
                </c:pt>
                <c:pt idx="12">
                  <c:v>292380000</c:v>
                </c:pt>
                <c:pt idx="13">
                  <c:v>166960000</c:v>
                </c:pt>
                <c:pt idx="14">
                  <c:v>142230000</c:v>
                </c:pt>
                <c:pt idx="15">
                  <c:v>94200000</c:v>
                </c:pt>
                <c:pt idx="16">
                  <c:v>36600000</c:v>
                </c:pt>
                <c:pt idx="17">
                  <c:v>219440000</c:v>
                </c:pt>
                <c:pt idx="18">
                  <c:v>58180000</c:v>
                </c:pt>
                <c:pt idx="19">
                  <c:v>35030000</c:v>
                </c:pt>
                <c:pt idx="20">
                  <c:v>126820000</c:v>
                </c:pt>
                <c:pt idx="21">
                  <c:v>238700000</c:v>
                </c:pt>
                <c:pt idx="22">
                  <c:v>223650000</c:v>
                </c:pt>
                <c:pt idx="23">
                  <c:v>234040000</c:v>
                </c:pt>
                <c:pt idx="24">
                  <c:v>16940000</c:v>
                </c:pt>
                <c:pt idx="25">
                  <c:v>136820000</c:v>
                </c:pt>
                <c:pt idx="26">
                  <c:v>156970000</c:v>
                </c:pt>
                <c:pt idx="27">
                  <c:v>193540000</c:v>
                </c:pt>
                <c:pt idx="28">
                  <c:v>195230000</c:v>
                </c:pt>
                <c:pt idx="29">
                  <c:v>109730000</c:v>
                </c:pt>
                <c:pt idx="30">
                  <c:v>168420000</c:v>
                </c:pt>
                <c:pt idx="31">
                  <c:v>144580000</c:v>
                </c:pt>
                <c:pt idx="32">
                  <c:v>265560000</c:v>
                </c:pt>
                <c:pt idx="33">
                  <c:v>159310000</c:v>
                </c:pt>
                <c:pt idx="34">
                  <c:v>34710000</c:v>
                </c:pt>
                <c:pt idx="35">
                  <c:v>132590000</c:v>
                </c:pt>
                <c:pt idx="36">
                  <c:v>121640000</c:v>
                </c:pt>
                <c:pt idx="37">
                  <c:v>171940000</c:v>
                </c:pt>
                <c:pt idx="38">
                  <c:v>241290000</c:v>
                </c:pt>
                <c:pt idx="39">
                  <c:v>161750000</c:v>
                </c:pt>
                <c:pt idx="40">
                  <c:v>198670000</c:v>
                </c:pt>
                <c:pt idx="41">
                  <c:v>221490000</c:v>
                </c:pt>
                <c:pt idx="42">
                  <c:v>156290000</c:v>
                </c:pt>
                <c:pt idx="43">
                  <c:v>128330000</c:v>
                </c:pt>
                <c:pt idx="44">
                  <c:v>263060000</c:v>
                </c:pt>
                <c:pt idx="45">
                  <c:v>169950000</c:v>
                </c:pt>
                <c:pt idx="46">
                  <c:v>125540000</c:v>
                </c:pt>
                <c:pt idx="47">
                  <c:v>138850000</c:v>
                </c:pt>
                <c:pt idx="48">
                  <c:v>297110000</c:v>
                </c:pt>
                <c:pt idx="49">
                  <c:v>570000</c:v>
                </c:pt>
                <c:pt idx="50">
                  <c:v>56050000</c:v>
                </c:pt>
                <c:pt idx="51">
                  <c:v>115500000</c:v>
                </c:pt>
                <c:pt idx="52">
                  <c:v>279810000</c:v>
                </c:pt>
                <c:pt idx="53">
                  <c:v>21470000</c:v>
                </c:pt>
                <c:pt idx="54">
                  <c:v>3340000</c:v>
                </c:pt>
                <c:pt idx="55">
                  <c:v>16280000</c:v>
                </c:pt>
                <c:pt idx="56">
                  <c:v>295620000</c:v>
                </c:pt>
                <c:pt idx="57">
                  <c:v>27020000</c:v>
                </c:pt>
                <c:pt idx="58">
                  <c:v>11760000</c:v>
                </c:pt>
                <c:pt idx="59">
                  <c:v>144190000</c:v>
                </c:pt>
                <c:pt idx="60">
                  <c:v>174440000</c:v>
                </c:pt>
                <c:pt idx="61">
                  <c:v>81870000</c:v>
                </c:pt>
                <c:pt idx="62">
                  <c:v>119790000</c:v>
                </c:pt>
                <c:pt idx="63">
                  <c:v>27960000</c:v>
                </c:pt>
                <c:pt idx="64">
                  <c:v>101240000</c:v>
                </c:pt>
                <c:pt idx="65">
                  <c:v>156990000</c:v>
                </c:pt>
                <c:pt idx="66">
                  <c:v>219820000</c:v>
                </c:pt>
                <c:pt idx="67">
                  <c:v>141580000</c:v>
                </c:pt>
                <c:pt idx="68">
                  <c:v>1500000</c:v>
                </c:pt>
                <c:pt idx="69">
                  <c:v>140460000</c:v>
                </c:pt>
                <c:pt idx="70">
                  <c:v>89450000</c:v>
                </c:pt>
                <c:pt idx="71">
                  <c:v>255920000</c:v>
                </c:pt>
                <c:pt idx="72">
                  <c:v>214810000</c:v>
                </c:pt>
                <c:pt idx="73">
                  <c:v>176940000</c:v>
                </c:pt>
                <c:pt idx="74">
                  <c:v>83540000</c:v>
                </c:pt>
                <c:pt idx="75">
                  <c:v>273150000</c:v>
                </c:pt>
                <c:pt idx="76">
                  <c:v>14010000</c:v>
                </c:pt>
                <c:pt idx="77">
                  <c:v>33290000</c:v>
                </c:pt>
                <c:pt idx="78">
                  <c:v>55040000</c:v>
                </c:pt>
                <c:pt idx="79">
                  <c:v>117790000</c:v>
                </c:pt>
                <c:pt idx="80">
                  <c:v>37770000</c:v>
                </c:pt>
                <c:pt idx="81">
                  <c:v>286950000</c:v>
                </c:pt>
                <c:pt idx="82">
                  <c:v>239500000</c:v>
                </c:pt>
                <c:pt idx="83">
                  <c:v>78070000</c:v>
                </c:pt>
                <c:pt idx="84">
                  <c:v>176770000</c:v>
                </c:pt>
                <c:pt idx="85">
                  <c:v>294710000</c:v>
                </c:pt>
                <c:pt idx="86">
                  <c:v>265320000</c:v>
                </c:pt>
                <c:pt idx="87">
                  <c:v>180440000</c:v>
                </c:pt>
                <c:pt idx="88">
                  <c:v>271170000</c:v>
                </c:pt>
                <c:pt idx="89">
                  <c:v>145690000</c:v>
                </c:pt>
                <c:pt idx="90">
                  <c:v>296760000</c:v>
                </c:pt>
                <c:pt idx="91">
                  <c:v>223130000</c:v>
                </c:pt>
                <c:pt idx="92">
                  <c:v>19960000</c:v>
                </c:pt>
                <c:pt idx="93">
                  <c:v>120770000</c:v>
                </c:pt>
                <c:pt idx="94">
                  <c:v>251430000</c:v>
                </c:pt>
                <c:pt idx="95">
                  <c:v>69560000</c:v>
                </c:pt>
                <c:pt idx="96">
                  <c:v>249280000</c:v>
                </c:pt>
                <c:pt idx="97">
                  <c:v>36540000</c:v>
                </c:pt>
                <c:pt idx="98">
                  <c:v>14560000</c:v>
                </c:pt>
                <c:pt idx="99">
                  <c:v>115540000</c:v>
                </c:pt>
                <c:pt idx="100">
                  <c:v>153980000</c:v>
                </c:pt>
                <c:pt idx="101">
                  <c:v>11500000</c:v>
                </c:pt>
                <c:pt idx="102">
                  <c:v>287200000</c:v>
                </c:pt>
                <c:pt idx="103">
                  <c:v>247950000</c:v>
                </c:pt>
                <c:pt idx="104">
                  <c:v>240330000</c:v>
                </c:pt>
                <c:pt idx="105">
                  <c:v>189120000</c:v>
                </c:pt>
                <c:pt idx="106">
                  <c:v>65290000</c:v>
                </c:pt>
                <c:pt idx="107">
                  <c:v>155720000</c:v>
                </c:pt>
                <c:pt idx="108">
                  <c:v>179380000</c:v>
                </c:pt>
                <c:pt idx="109">
                  <c:v>157750000</c:v>
                </c:pt>
                <c:pt idx="110">
                  <c:v>78440000</c:v>
                </c:pt>
                <c:pt idx="111">
                  <c:v>247620000</c:v>
                </c:pt>
                <c:pt idx="112">
                  <c:v>222640000</c:v>
                </c:pt>
                <c:pt idx="113">
                  <c:v>154820000</c:v>
                </c:pt>
                <c:pt idx="114">
                  <c:v>147610000</c:v>
                </c:pt>
                <c:pt idx="115">
                  <c:v>298900000</c:v>
                </c:pt>
                <c:pt idx="116">
                  <c:v>269280000</c:v>
                </c:pt>
                <c:pt idx="117">
                  <c:v>139280000</c:v>
                </c:pt>
                <c:pt idx="118">
                  <c:v>187070000</c:v>
                </c:pt>
                <c:pt idx="119">
                  <c:v>224490000</c:v>
                </c:pt>
                <c:pt idx="120">
                  <c:v>10940000</c:v>
                </c:pt>
                <c:pt idx="121">
                  <c:v>268530000</c:v>
                </c:pt>
                <c:pt idx="122">
                  <c:v>258110000</c:v>
                </c:pt>
                <c:pt idx="123">
                  <c:v>209800000</c:v>
                </c:pt>
                <c:pt idx="124">
                  <c:v>137500000</c:v>
                </c:pt>
                <c:pt idx="125">
                  <c:v>117660000</c:v>
                </c:pt>
                <c:pt idx="126">
                  <c:v>82250000</c:v>
                </c:pt>
                <c:pt idx="127">
                  <c:v>143260000</c:v>
                </c:pt>
                <c:pt idx="128">
                  <c:v>13790000</c:v>
                </c:pt>
                <c:pt idx="129">
                  <c:v>255730000</c:v>
                </c:pt>
                <c:pt idx="130">
                  <c:v>11110000</c:v>
                </c:pt>
                <c:pt idx="131">
                  <c:v>99050000</c:v>
                </c:pt>
                <c:pt idx="132">
                  <c:v>279510000</c:v>
                </c:pt>
                <c:pt idx="133">
                  <c:v>220700000</c:v>
                </c:pt>
                <c:pt idx="134">
                  <c:v>121060000</c:v>
                </c:pt>
                <c:pt idx="135">
                  <c:v>84780000</c:v>
                </c:pt>
                <c:pt idx="136">
                  <c:v>76170000</c:v>
                </c:pt>
                <c:pt idx="137">
                  <c:v>2020000</c:v>
                </c:pt>
                <c:pt idx="138">
                  <c:v>208870000</c:v>
                </c:pt>
                <c:pt idx="139">
                  <c:v>15110000</c:v>
                </c:pt>
                <c:pt idx="140">
                  <c:v>160010000</c:v>
                </c:pt>
                <c:pt idx="141">
                  <c:v>288660000</c:v>
                </c:pt>
                <c:pt idx="142">
                  <c:v>33290000</c:v>
                </c:pt>
                <c:pt idx="143">
                  <c:v>268400000</c:v>
                </c:pt>
                <c:pt idx="144">
                  <c:v>297450000</c:v>
                </c:pt>
                <c:pt idx="145">
                  <c:v>65800000</c:v>
                </c:pt>
                <c:pt idx="146">
                  <c:v>18920000</c:v>
                </c:pt>
                <c:pt idx="147">
                  <c:v>264930000</c:v>
                </c:pt>
                <c:pt idx="148">
                  <c:v>155070000</c:v>
                </c:pt>
                <c:pt idx="149">
                  <c:v>272000000</c:v>
                </c:pt>
                <c:pt idx="150">
                  <c:v>171610000</c:v>
                </c:pt>
                <c:pt idx="151">
                  <c:v>198800000</c:v>
                </c:pt>
                <c:pt idx="152">
                  <c:v>163360000</c:v>
                </c:pt>
                <c:pt idx="153">
                  <c:v>259420000</c:v>
                </c:pt>
                <c:pt idx="154">
                  <c:v>220310000</c:v>
                </c:pt>
                <c:pt idx="155">
                  <c:v>156620000</c:v>
                </c:pt>
                <c:pt idx="156">
                  <c:v>193690000</c:v>
                </c:pt>
                <c:pt idx="157">
                  <c:v>260510000</c:v>
                </c:pt>
                <c:pt idx="158">
                  <c:v>73960000</c:v>
                </c:pt>
                <c:pt idx="159">
                  <c:v>47620000</c:v>
                </c:pt>
                <c:pt idx="160">
                  <c:v>48540000</c:v>
                </c:pt>
                <c:pt idx="161">
                  <c:v>100540000</c:v>
                </c:pt>
                <c:pt idx="162">
                  <c:v>71990000</c:v>
                </c:pt>
                <c:pt idx="163">
                  <c:v>279060000</c:v>
                </c:pt>
                <c:pt idx="164">
                  <c:v>32200000</c:v>
                </c:pt>
                <c:pt idx="165">
                  <c:v>209850000</c:v>
                </c:pt>
                <c:pt idx="166">
                  <c:v>57170000</c:v>
                </c:pt>
                <c:pt idx="167">
                  <c:v>126800000</c:v>
                </c:pt>
                <c:pt idx="168">
                  <c:v>264550000</c:v>
                </c:pt>
                <c:pt idx="169">
                  <c:v>288410000</c:v>
                </c:pt>
                <c:pt idx="170">
                  <c:v>139910000</c:v>
                </c:pt>
                <c:pt idx="171">
                  <c:v>263780000</c:v>
                </c:pt>
                <c:pt idx="172">
                  <c:v>2040000</c:v>
                </c:pt>
                <c:pt idx="173">
                  <c:v>246070000</c:v>
                </c:pt>
                <c:pt idx="174">
                  <c:v>68970000</c:v>
                </c:pt>
                <c:pt idx="175">
                  <c:v>272660000</c:v>
                </c:pt>
                <c:pt idx="176">
                  <c:v>840000</c:v>
                </c:pt>
                <c:pt idx="177">
                  <c:v>167080000</c:v>
                </c:pt>
                <c:pt idx="178">
                  <c:v>40120000</c:v>
                </c:pt>
                <c:pt idx="179">
                  <c:v>227110000</c:v>
                </c:pt>
                <c:pt idx="180">
                  <c:v>77980000</c:v>
                </c:pt>
                <c:pt idx="181">
                  <c:v>58340000</c:v>
                </c:pt>
                <c:pt idx="182">
                  <c:v>25690000</c:v>
                </c:pt>
                <c:pt idx="183">
                  <c:v>98270000</c:v>
                </c:pt>
                <c:pt idx="184">
                  <c:v>168170000</c:v>
                </c:pt>
                <c:pt idx="185">
                  <c:v>35200000</c:v>
                </c:pt>
                <c:pt idx="186">
                  <c:v>113320000</c:v>
                </c:pt>
                <c:pt idx="187">
                  <c:v>3220000</c:v>
                </c:pt>
                <c:pt idx="188">
                  <c:v>245690000</c:v>
                </c:pt>
                <c:pt idx="189">
                  <c:v>270220000</c:v>
                </c:pt>
                <c:pt idx="190">
                  <c:v>38970000</c:v>
                </c:pt>
                <c:pt idx="191">
                  <c:v>85360000</c:v>
                </c:pt>
                <c:pt idx="192">
                  <c:v>6020000</c:v>
                </c:pt>
                <c:pt idx="193">
                  <c:v>129960000</c:v>
                </c:pt>
                <c:pt idx="194">
                  <c:v>252120000</c:v>
                </c:pt>
                <c:pt idx="195">
                  <c:v>117950000</c:v>
                </c:pt>
                <c:pt idx="196">
                  <c:v>54260000</c:v>
                </c:pt>
                <c:pt idx="197">
                  <c:v>226230000</c:v>
                </c:pt>
                <c:pt idx="198">
                  <c:v>236750000</c:v>
                </c:pt>
                <c:pt idx="199">
                  <c:v>52540000</c:v>
                </c:pt>
                <c:pt idx="200">
                  <c:v>207520000</c:v>
                </c:pt>
                <c:pt idx="201">
                  <c:v>231370000</c:v>
                </c:pt>
                <c:pt idx="202">
                  <c:v>284220000</c:v>
                </c:pt>
                <c:pt idx="203">
                  <c:v>50330000</c:v>
                </c:pt>
                <c:pt idx="204">
                  <c:v>231410000</c:v>
                </c:pt>
                <c:pt idx="205">
                  <c:v>212720000</c:v>
                </c:pt>
                <c:pt idx="206">
                  <c:v>142340000</c:v>
                </c:pt>
                <c:pt idx="207">
                  <c:v>17850000</c:v>
                </c:pt>
                <c:pt idx="208">
                  <c:v>22870000</c:v>
                </c:pt>
                <c:pt idx="209">
                  <c:v>255800000</c:v>
                </c:pt>
                <c:pt idx="210">
                  <c:v>297050000</c:v>
                </c:pt>
                <c:pt idx="211">
                  <c:v>205110000</c:v>
                </c:pt>
                <c:pt idx="212">
                  <c:v>202980000</c:v>
                </c:pt>
                <c:pt idx="213">
                  <c:v>134060000</c:v>
                </c:pt>
                <c:pt idx="214">
                  <c:v>194450000</c:v>
                </c:pt>
                <c:pt idx="215">
                  <c:v>178520000</c:v>
                </c:pt>
                <c:pt idx="216">
                  <c:v>115390000</c:v>
                </c:pt>
                <c:pt idx="217">
                  <c:v>20160000</c:v>
                </c:pt>
                <c:pt idx="218">
                  <c:v>246540000</c:v>
                </c:pt>
                <c:pt idx="219">
                  <c:v>111860000</c:v>
                </c:pt>
                <c:pt idx="220">
                  <c:v>245730000</c:v>
                </c:pt>
                <c:pt idx="221">
                  <c:v>76130000</c:v>
                </c:pt>
                <c:pt idx="222">
                  <c:v>109240000</c:v>
                </c:pt>
                <c:pt idx="223">
                  <c:v>246860000</c:v>
                </c:pt>
                <c:pt idx="224">
                  <c:v>810000</c:v>
                </c:pt>
                <c:pt idx="225">
                  <c:v>48100000</c:v>
                </c:pt>
                <c:pt idx="226">
                  <c:v>140830000</c:v>
                </c:pt>
                <c:pt idx="227">
                  <c:v>283320000</c:v>
                </c:pt>
                <c:pt idx="228">
                  <c:v>31110000</c:v>
                </c:pt>
                <c:pt idx="229">
                  <c:v>256340000</c:v>
                </c:pt>
                <c:pt idx="230">
                  <c:v>158340000</c:v>
                </c:pt>
                <c:pt idx="231">
                  <c:v>247860000</c:v>
                </c:pt>
                <c:pt idx="232">
                  <c:v>89860000</c:v>
                </c:pt>
                <c:pt idx="233">
                  <c:v>252060000</c:v>
                </c:pt>
                <c:pt idx="234">
                  <c:v>159130000</c:v>
                </c:pt>
                <c:pt idx="235">
                  <c:v>231960000</c:v>
                </c:pt>
                <c:pt idx="236">
                  <c:v>69400000</c:v>
                </c:pt>
                <c:pt idx="237">
                  <c:v>39830000</c:v>
                </c:pt>
                <c:pt idx="238">
                  <c:v>260480000</c:v>
                </c:pt>
                <c:pt idx="239">
                  <c:v>288990000</c:v>
                </c:pt>
                <c:pt idx="240">
                  <c:v>9880000</c:v>
                </c:pt>
                <c:pt idx="241">
                  <c:v>219520000</c:v>
                </c:pt>
                <c:pt idx="242">
                  <c:v>272900000</c:v>
                </c:pt>
                <c:pt idx="243">
                  <c:v>257280000</c:v>
                </c:pt>
                <c:pt idx="244">
                  <c:v>289370000</c:v>
                </c:pt>
                <c:pt idx="245">
                  <c:v>244610000</c:v>
                </c:pt>
                <c:pt idx="246">
                  <c:v>228150000</c:v>
                </c:pt>
                <c:pt idx="247">
                  <c:v>132970000</c:v>
                </c:pt>
                <c:pt idx="248">
                  <c:v>93930000</c:v>
                </c:pt>
                <c:pt idx="249">
                  <c:v>96560000</c:v>
                </c:pt>
                <c:pt idx="250">
                  <c:v>217460000</c:v>
                </c:pt>
                <c:pt idx="251">
                  <c:v>223880000</c:v>
                </c:pt>
                <c:pt idx="252">
                  <c:v>60510000</c:v>
                </c:pt>
                <c:pt idx="253">
                  <c:v>260500000</c:v>
                </c:pt>
                <c:pt idx="254">
                  <c:v>214620000</c:v>
                </c:pt>
                <c:pt idx="255">
                  <c:v>169040000</c:v>
                </c:pt>
                <c:pt idx="256">
                  <c:v>149680000</c:v>
                </c:pt>
                <c:pt idx="257">
                  <c:v>141720000</c:v>
                </c:pt>
                <c:pt idx="258">
                  <c:v>163200000</c:v>
                </c:pt>
                <c:pt idx="259">
                  <c:v>48190000</c:v>
                </c:pt>
                <c:pt idx="260">
                  <c:v>61510000</c:v>
                </c:pt>
                <c:pt idx="261">
                  <c:v>27800000</c:v>
                </c:pt>
                <c:pt idx="262">
                  <c:v>46520000</c:v>
                </c:pt>
                <c:pt idx="263">
                  <c:v>136380000</c:v>
                </c:pt>
                <c:pt idx="264">
                  <c:v>159340000</c:v>
                </c:pt>
                <c:pt idx="265">
                  <c:v>5850000</c:v>
                </c:pt>
                <c:pt idx="266">
                  <c:v>239140000</c:v>
                </c:pt>
                <c:pt idx="267">
                  <c:v>20620000</c:v>
                </c:pt>
                <c:pt idx="268">
                  <c:v>88600000</c:v>
                </c:pt>
                <c:pt idx="269">
                  <c:v>273590000</c:v>
                </c:pt>
                <c:pt idx="270">
                  <c:v>290270000</c:v>
                </c:pt>
                <c:pt idx="271">
                  <c:v>56040000</c:v>
                </c:pt>
                <c:pt idx="272">
                  <c:v>138900000</c:v>
                </c:pt>
                <c:pt idx="273">
                  <c:v>870000</c:v>
                </c:pt>
                <c:pt idx="274">
                  <c:v>179700000</c:v>
                </c:pt>
                <c:pt idx="275">
                  <c:v>182390000</c:v>
                </c:pt>
                <c:pt idx="276">
                  <c:v>74640000</c:v>
                </c:pt>
                <c:pt idx="277">
                  <c:v>167740000</c:v>
                </c:pt>
                <c:pt idx="278">
                  <c:v>121870000</c:v>
                </c:pt>
                <c:pt idx="279">
                  <c:v>68050000</c:v>
                </c:pt>
                <c:pt idx="280">
                  <c:v>48670000</c:v>
                </c:pt>
                <c:pt idx="281">
                  <c:v>195630000</c:v>
                </c:pt>
                <c:pt idx="282">
                  <c:v>98110000</c:v>
                </c:pt>
                <c:pt idx="283">
                  <c:v>177280000</c:v>
                </c:pt>
                <c:pt idx="284">
                  <c:v>130260000</c:v>
                </c:pt>
                <c:pt idx="285">
                  <c:v>295310000</c:v>
                </c:pt>
                <c:pt idx="286">
                  <c:v>45300000</c:v>
                </c:pt>
                <c:pt idx="287">
                  <c:v>139650000</c:v>
                </c:pt>
                <c:pt idx="288">
                  <c:v>204300000</c:v>
                </c:pt>
                <c:pt idx="289">
                  <c:v>149490000</c:v>
                </c:pt>
                <c:pt idx="290">
                  <c:v>118970000</c:v>
                </c:pt>
                <c:pt idx="291">
                  <c:v>292420000</c:v>
                </c:pt>
                <c:pt idx="292">
                  <c:v>216710000</c:v>
                </c:pt>
                <c:pt idx="293">
                  <c:v>197270000</c:v>
                </c:pt>
                <c:pt idx="294">
                  <c:v>227240000</c:v>
                </c:pt>
                <c:pt idx="295">
                  <c:v>285820000</c:v>
                </c:pt>
                <c:pt idx="296">
                  <c:v>272390000</c:v>
                </c:pt>
                <c:pt idx="297">
                  <c:v>217420000</c:v>
                </c:pt>
                <c:pt idx="298">
                  <c:v>224870000</c:v>
                </c:pt>
                <c:pt idx="299">
                  <c:v>44200000</c:v>
                </c:pt>
                <c:pt idx="300">
                  <c:v>216200000</c:v>
                </c:pt>
                <c:pt idx="301">
                  <c:v>31290000</c:v>
                </c:pt>
                <c:pt idx="302">
                  <c:v>171490000</c:v>
                </c:pt>
                <c:pt idx="303">
                  <c:v>6000000</c:v>
                </c:pt>
                <c:pt idx="304">
                  <c:v>144970000</c:v>
                </c:pt>
                <c:pt idx="305">
                  <c:v>63500000</c:v>
                </c:pt>
                <c:pt idx="306">
                  <c:v>104130000</c:v>
                </c:pt>
                <c:pt idx="307">
                  <c:v>232850000</c:v>
                </c:pt>
                <c:pt idx="308">
                  <c:v>282400000</c:v>
                </c:pt>
                <c:pt idx="309">
                  <c:v>22190000</c:v>
                </c:pt>
                <c:pt idx="310">
                  <c:v>160510000</c:v>
                </c:pt>
                <c:pt idx="311">
                  <c:v>32420000</c:v>
                </c:pt>
                <c:pt idx="312">
                  <c:v>264820000</c:v>
                </c:pt>
                <c:pt idx="313">
                  <c:v>25210000</c:v>
                </c:pt>
                <c:pt idx="314">
                  <c:v>247440000</c:v>
                </c:pt>
                <c:pt idx="315">
                  <c:v>107660000</c:v>
                </c:pt>
                <c:pt idx="316">
                  <c:v>96970000</c:v>
                </c:pt>
                <c:pt idx="317">
                  <c:v>293250000</c:v>
                </c:pt>
                <c:pt idx="318">
                  <c:v>60660000</c:v>
                </c:pt>
                <c:pt idx="319">
                  <c:v>208110000</c:v>
                </c:pt>
                <c:pt idx="320">
                  <c:v>246520000</c:v>
                </c:pt>
                <c:pt idx="321">
                  <c:v>12830000</c:v>
                </c:pt>
                <c:pt idx="322">
                  <c:v>42440000</c:v>
                </c:pt>
                <c:pt idx="323">
                  <c:v>201280000</c:v>
                </c:pt>
                <c:pt idx="324">
                  <c:v>285490000</c:v>
                </c:pt>
                <c:pt idx="325">
                  <c:v>37700000</c:v>
                </c:pt>
                <c:pt idx="326">
                  <c:v>268920000</c:v>
                </c:pt>
                <c:pt idx="327">
                  <c:v>178640000</c:v>
                </c:pt>
                <c:pt idx="328">
                  <c:v>185170000</c:v>
                </c:pt>
                <c:pt idx="329">
                  <c:v>184080000</c:v>
                </c:pt>
                <c:pt idx="330">
                  <c:v>90000000</c:v>
                </c:pt>
                <c:pt idx="331">
                  <c:v>280590000</c:v>
                </c:pt>
                <c:pt idx="332">
                  <c:v>284230000</c:v>
                </c:pt>
                <c:pt idx="333">
                  <c:v>10750000</c:v>
                </c:pt>
                <c:pt idx="334">
                  <c:v>79470000</c:v>
                </c:pt>
                <c:pt idx="335">
                  <c:v>187780000</c:v>
                </c:pt>
                <c:pt idx="336">
                  <c:v>235140000</c:v>
                </c:pt>
                <c:pt idx="337">
                  <c:v>183870000</c:v>
                </c:pt>
                <c:pt idx="338">
                  <c:v>145580000</c:v>
                </c:pt>
                <c:pt idx="339">
                  <c:v>198420000</c:v>
                </c:pt>
                <c:pt idx="340">
                  <c:v>166120000</c:v>
                </c:pt>
                <c:pt idx="341">
                  <c:v>179440000</c:v>
                </c:pt>
                <c:pt idx="342">
                  <c:v>235260000</c:v>
                </c:pt>
                <c:pt idx="343">
                  <c:v>144530000</c:v>
                </c:pt>
                <c:pt idx="344">
                  <c:v>12710000</c:v>
                </c:pt>
                <c:pt idx="345">
                  <c:v>80320000</c:v>
                </c:pt>
                <c:pt idx="346">
                  <c:v>49620000</c:v>
                </c:pt>
                <c:pt idx="347">
                  <c:v>131860000</c:v>
                </c:pt>
                <c:pt idx="348">
                  <c:v>217590000</c:v>
                </c:pt>
                <c:pt idx="349">
                  <c:v>178190000</c:v>
                </c:pt>
                <c:pt idx="350">
                  <c:v>195260000</c:v>
                </c:pt>
                <c:pt idx="351">
                  <c:v>144040000</c:v>
                </c:pt>
                <c:pt idx="352">
                  <c:v>184910000</c:v>
                </c:pt>
                <c:pt idx="353">
                  <c:v>99040000</c:v>
                </c:pt>
                <c:pt idx="354">
                  <c:v>141320000</c:v>
                </c:pt>
                <c:pt idx="355">
                  <c:v>223410000</c:v>
                </c:pt>
                <c:pt idx="356">
                  <c:v>219790000</c:v>
                </c:pt>
                <c:pt idx="357">
                  <c:v>261610000</c:v>
                </c:pt>
                <c:pt idx="358">
                  <c:v>130380000</c:v>
                </c:pt>
                <c:pt idx="359">
                  <c:v>13580000</c:v>
                </c:pt>
                <c:pt idx="360">
                  <c:v>48920000</c:v>
                </c:pt>
                <c:pt idx="361">
                  <c:v>6750000</c:v>
                </c:pt>
                <c:pt idx="362">
                  <c:v>196150000</c:v>
                </c:pt>
                <c:pt idx="363">
                  <c:v>100030000</c:v>
                </c:pt>
                <c:pt idx="364">
                  <c:v>162970000</c:v>
                </c:pt>
                <c:pt idx="365">
                  <c:v>148240000</c:v>
                </c:pt>
                <c:pt idx="366">
                  <c:v>24920000</c:v>
                </c:pt>
                <c:pt idx="367">
                  <c:v>75590000</c:v>
                </c:pt>
                <c:pt idx="368">
                  <c:v>121280000</c:v>
                </c:pt>
                <c:pt idx="369">
                  <c:v>66560000</c:v>
                </c:pt>
                <c:pt idx="370">
                  <c:v>125810000</c:v>
                </c:pt>
                <c:pt idx="371">
                  <c:v>61470000</c:v>
                </c:pt>
                <c:pt idx="372">
                  <c:v>252220000</c:v>
                </c:pt>
                <c:pt idx="373">
                  <c:v>52670000</c:v>
                </c:pt>
                <c:pt idx="374">
                  <c:v>288250000</c:v>
                </c:pt>
                <c:pt idx="375">
                  <c:v>125060000</c:v>
                </c:pt>
                <c:pt idx="376">
                  <c:v>253950000</c:v>
                </c:pt>
                <c:pt idx="377">
                  <c:v>188820000</c:v>
                </c:pt>
                <c:pt idx="378">
                  <c:v>190110000</c:v>
                </c:pt>
                <c:pt idx="379">
                  <c:v>220740000</c:v>
                </c:pt>
                <c:pt idx="380">
                  <c:v>230430000</c:v>
                </c:pt>
                <c:pt idx="381">
                  <c:v>151700000</c:v>
                </c:pt>
                <c:pt idx="382">
                  <c:v>163220000</c:v>
                </c:pt>
                <c:pt idx="383">
                  <c:v>154440000</c:v>
                </c:pt>
                <c:pt idx="384">
                  <c:v>176620000</c:v>
                </c:pt>
                <c:pt idx="385">
                  <c:v>9300000</c:v>
                </c:pt>
                <c:pt idx="386">
                  <c:v>118960000</c:v>
                </c:pt>
                <c:pt idx="387">
                  <c:v>182050000</c:v>
                </c:pt>
                <c:pt idx="388">
                  <c:v>179520000</c:v>
                </c:pt>
                <c:pt idx="389">
                  <c:v>148540000</c:v>
                </c:pt>
                <c:pt idx="390">
                  <c:v>237990000</c:v>
                </c:pt>
                <c:pt idx="391">
                  <c:v>196680000</c:v>
                </c:pt>
                <c:pt idx="392">
                  <c:v>297640000</c:v>
                </c:pt>
                <c:pt idx="393">
                  <c:v>85510000</c:v>
                </c:pt>
                <c:pt idx="394">
                  <c:v>108070000</c:v>
                </c:pt>
                <c:pt idx="395">
                  <c:v>115460000</c:v>
                </c:pt>
                <c:pt idx="396">
                  <c:v>140010000</c:v>
                </c:pt>
                <c:pt idx="397">
                  <c:v>250880000</c:v>
                </c:pt>
                <c:pt idx="398">
                  <c:v>71120000</c:v>
                </c:pt>
                <c:pt idx="399">
                  <c:v>232910000</c:v>
                </c:pt>
                <c:pt idx="400">
                  <c:v>172200000</c:v>
                </c:pt>
                <c:pt idx="401">
                  <c:v>121890000</c:v>
                </c:pt>
                <c:pt idx="402">
                  <c:v>180760000</c:v>
                </c:pt>
                <c:pt idx="403">
                  <c:v>189950000</c:v>
                </c:pt>
                <c:pt idx="404">
                  <c:v>112170000</c:v>
                </c:pt>
                <c:pt idx="405">
                  <c:v>154030000</c:v>
                </c:pt>
                <c:pt idx="406">
                  <c:v>124200000</c:v>
                </c:pt>
                <c:pt idx="407">
                  <c:v>21210000</c:v>
                </c:pt>
                <c:pt idx="408">
                  <c:v>131430000</c:v>
                </c:pt>
                <c:pt idx="409">
                  <c:v>29670000</c:v>
                </c:pt>
                <c:pt idx="410">
                  <c:v>121800000</c:v>
                </c:pt>
                <c:pt idx="411">
                  <c:v>251510000</c:v>
                </c:pt>
                <c:pt idx="412">
                  <c:v>178080000</c:v>
                </c:pt>
                <c:pt idx="413">
                  <c:v>174030000</c:v>
                </c:pt>
                <c:pt idx="414">
                  <c:v>198960000</c:v>
                </c:pt>
                <c:pt idx="415">
                  <c:v>29030000</c:v>
                </c:pt>
                <c:pt idx="416">
                  <c:v>195810000</c:v>
                </c:pt>
                <c:pt idx="417">
                  <c:v>93990000</c:v>
                </c:pt>
                <c:pt idx="418">
                  <c:v>120010000</c:v>
                </c:pt>
                <c:pt idx="419">
                  <c:v>257470000</c:v>
                </c:pt>
                <c:pt idx="420">
                  <c:v>3200000</c:v>
                </c:pt>
                <c:pt idx="421">
                  <c:v>176730000</c:v>
                </c:pt>
                <c:pt idx="422">
                  <c:v>121610000</c:v>
                </c:pt>
                <c:pt idx="423">
                  <c:v>179810000</c:v>
                </c:pt>
                <c:pt idx="424">
                  <c:v>119300000</c:v>
                </c:pt>
                <c:pt idx="425">
                  <c:v>71490000</c:v>
                </c:pt>
                <c:pt idx="426">
                  <c:v>70780000</c:v>
                </c:pt>
                <c:pt idx="427">
                  <c:v>265170000</c:v>
                </c:pt>
                <c:pt idx="428">
                  <c:v>132890000</c:v>
                </c:pt>
                <c:pt idx="429">
                  <c:v>99600000</c:v>
                </c:pt>
                <c:pt idx="430">
                  <c:v>134910000</c:v>
                </c:pt>
                <c:pt idx="431">
                  <c:v>200980000</c:v>
                </c:pt>
                <c:pt idx="432">
                  <c:v>44150000</c:v>
                </c:pt>
                <c:pt idx="433">
                  <c:v>231390000</c:v>
                </c:pt>
                <c:pt idx="434">
                  <c:v>135110000</c:v>
                </c:pt>
                <c:pt idx="435">
                  <c:v>176570000</c:v>
                </c:pt>
                <c:pt idx="436">
                  <c:v>284600000</c:v>
                </c:pt>
                <c:pt idx="437">
                  <c:v>76130000</c:v>
                </c:pt>
                <c:pt idx="438">
                  <c:v>108100000</c:v>
                </c:pt>
                <c:pt idx="439">
                  <c:v>114120000</c:v>
                </c:pt>
                <c:pt idx="440">
                  <c:v>181860000</c:v>
                </c:pt>
                <c:pt idx="441">
                  <c:v>107340000</c:v>
                </c:pt>
                <c:pt idx="442">
                  <c:v>160290000</c:v>
                </c:pt>
                <c:pt idx="443">
                  <c:v>234650000</c:v>
                </c:pt>
                <c:pt idx="444">
                  <c:v>249280000</c:v>
                </c:pt>
                <c:pt idx="445">
                  <c:v>126900000</c:v>
                </c:pt>
                <c:pt idx="446">
                  <c:v>211760000</c:v>
                </c:pt>
                <c:pt idx="447">
                  <c:v>106480000</c:v>
                </c:pt>
                <c:pt idx="448">
                  <c:v>287610000</c:v>
                </c:pt>
                <c:pt idx="449">
                  <c:v>55720000</c:v>
                </c:pt>
                <c:pt idx="450">
                  <c:v>27560000</c:v>
                </c:pt>
                <c:pt idx="451">
                  <c:v>231410000</c:v>
                </c:pt>
                <c:pt idx="452">
                  <c:v>20940000</c:v>
                </c:pt>
                <c:pt idx="453">
                  <c:v>251210000</c:v>
                </c:pt>
                <c:pt idx="454">
                  <c:v>131440000</c:v>
                </c:pt>
                <c:pt idx="455">
                  <c:v>274700000</c:v>
                </c:pt>
                <c:pt idx="456">
                  <c:v>103890000</c:v>
                </c:pt>
                <c:pt idx="457">
                  <c:v>216600000</c:v>
                </c:pt>
                <c:pt idx="458">
                  <c:v>183320000</c:v>
                </c:pt>
                <c:pt idx="459">
                  <c:v>284820000</c:v>
                </c:pt>
                <c:pt idx="460">
                  <c:v>119300000</c:v>
                </c:pt>
                <c:pt idx="461">
                  <c:v>286250000</c:v>
                </c:pt>
                <c:pt idx="462">
                  <c:v>40930000</c:v>
                </c:pt>
                <c:pt idx="463">
                  <c:v>145380000</c:v>
                </c:pt>
                <c:pt idx="464">
                  <c:v>81340000</c:v>
                </c:pt>
                <c:pt idx="465">
                  <c:v>162180000</c:v>
                </c:pt>
                <c:pt idx="466">
                  <c:v>49020000</c:v>
                </c:pt>
                <c:pt idx="467">
                  <c:v>232260000</c:v>
                </c:pt>
                <c:pt idx="468">
                  <c:v>252540000</c:v>
                </c:pt>
                <c:pt idx="469">
                  <c:v>254000000</c:v>
                </c:pt>
                <c:pt idx="470">
                  <c:v>286590000</c:v>
                </c:pt>
                <c:pt idx="471">
                  <c:v>46820000</c:v>
                </c:pt>
                <c:pt idx="472">
                  <c:v>187190000</c:v>
                </c:pt>
                <c:pt idx="473">
                  <c:v>142530000</c:v>
                </c:pt>
                <c:pt idx="474">
                  <c:v>103640000</c:v>
                </c:pt>
                <c:pt idx="475">
                  <c:v>105790000</c:v>
                </c:pt>
                <c:pt idx="476">
                  <c:v>124130000</c:v>
                </c:pt>
                <c:pt idx="477">
                  <c:v>211630000</c:v>
                </c:pt>
                <c:pt idx="478">
                  <c:v>109150000</c:v>
                </c:pt>
                <c:pt idx="479">
                  <c:v>179690000</c:v>
                </c:pt>
                <c:pt idx="480">
                  <c:v>138170000</c:v>
                </c:pt>
                <c:pt idx="481">
                  <c:v>23240000</c:v>
                </c:pt>
                <c:pt idx="482">
                  <c:v>23790000</c:v>
                </c:pt>
                <c:pt idx="483">
                  <c:v>1200000</c:v>
                </c:pt>
                <c:pt idx="484">
                  <c:v>290330000</c:v>
                </c:pt>
                <c:pt idx="485">
                  <c:v>2070000</c:v>
                </c:pt>
                <c:pt idx="486">
                  <c:v>31380000</c:v>
                </c:pt>
                <c:pt idx="487">
                  <c:v>94720000</c:v>
                </c:pt>
                <c:pt idx="488">
                  <c:v>242330000</c:v>
                </c:pt>
                <c:pt idx="489">
                  <c:v>258390000</c:v>
                </c:pt>
                <c:pt idx="490">
                  <c:v>288650000</c:v>
                </c:pt>
                <c:pt idx="491">
                  <c:v>237110000</c:v>
                </c:pt>
                <c:pt idx="492">
                  <c:v>207320000</c:v>
                </c:pt>
                <c:pt idx="493">
                  <c:v>156630000</c:v>
                </c:pt>
                <c:pt idx="494">
                  <c:v>26470000</c:v>
                </c:pt>
                <c:pt idx="495">
                  <c:v>287470000</c:v>
                </c:pt>
                <c:pt idx="496">
                  <c:v>227640000</c:v>
                </c:pt>
                <c:pt idx="497">
                  <c:v>191870000</c:v>
                </c:pt>
                <c:pt idx="498">
                  <c:v>227830000</c:v>
                </c:pt>
                <c:pt idx="499">
                  <c:v>217370000</c:v>
                </c:pt>
              </c:numCache>
            </c:numRef>
          </c:xVal>
          <c:yVal>
            <c:numRef>
              <c:f>[0]!y_axis</c:f>
              <c:numCache>
                <c:formatCode>\$#,##0.00;\(\$#,##0.00\);\$#,##0.00</c:formatCode>
                <c:ptCount val="500"/>
                <c:pt idx="0">
                  <c:v>67870000</c:v>
                </c:pt>
                <c:pt idx="1">
                  <c:v>21800000</c:v>
                </c:pt>
                <c:pt idx="2">
                  <c:v>84490000</c:v>
                </c:pt>
                <c:pt idx="3">
                  <c:v>26890000</c:v>
                </c:pt>
                <c:pt idx="4">
                  <c:v>15720000</c:v>
                </c:pt>
                <c:pt idx="5">
                  <c:v>85320000</c:v>
                </c:pt>
                <c:pt idx="6">
                  <c:v>4750000</c:v>
                </c:pt>
                <c:pt idx="7">
                  <c:v>62010000</c:v>
                </c:pt>
                <c:pt idx="8">
                  <c:v>56240000</c:v>
                </c:pt>
                <c:pt idx="9">
                  <c:v>34660000</c:v>
                </c:pt>
                <c:pt idx="10">
                  <c:v>31590000</c:v>
                </c:pt>
                <c:pt idx="11">
                  <c:v>77210000</c:v>
                </c:pt>
                <c:pt idx="12">
                  <c:v>13870000</c:v>
                </c:pt>
                <c:pt idx="13">
                  <c:v>8730000</c:v>
                </c:pt>
                <c:pt idx="14">
                  <c:v>23750000</c:v>
                </c:pt>
                <c:pt idx="15">
                  <c:v>73270000</c:v>
                </c:pt>
                <c:pt idx="16">
                  <c:v>54880000</c:v>
                </c:pt>
                <c:pt idx="17">
                  <c:v>12890000</c:v>
                </c:pt>
                <c:pt idx="18">
                  <c:v>88230000</c:v>
                </c:pt>
                <c:pt idx="19">
                  <c:v>39410000</c:v>
                </c:pt>
                <c:pt idx="20">
                  <c:v>82800000</c:v>
                </c:pt>
                <c:pt idx="21">
                  <c:v>78790000</c:v>
                </c:pt>
                <c:pt idx="22">
                  <c:v>62480000</c:v>
                </c:pt>
                <c:pt idx="23">
                  <c:v>66340000</c:v>
                </c:pt>
                <c:pt idx="24">
                  <c:v>49500000</c:v>
                </c:pt>
                <c:pt idx="25">
                  <c:v>97960000</c:v>
                </c:pt>
                <c:pt idx="26">
                  <c:v>14580000</c:v>
                </c:pt>
                <c:pt idx="27">
                  <c:v>72540000</c:v>
                </c:pt>
                <c:pt idx="28">
                  <c:v>19200000</c:v>
                </c:pt>
                <c:pt idx="29">
                  <c:v>33890000</c:v>
                </c:pt>
                <c:pt idx="30">
                  <c:v>30940000</c:v>
                </c:pt>
                <c:pt idx="31">
                  <c:v>94710000</c:v>
                </c:pt>
                <c:pt idx="32">
                  <c:v>96740000</c:v>
                </c:pt>
                <c:pt idx="33">
                  <c:v>18380000</c:v>
                </c:pt>
                <c:pt idx="34">
                  <c:v>290000</c:v>
                </c:pt>
                <c:pt idx="35">
                  <c:v>2300000</c:v>
                </c:pt>
                <c:pt idx="36">
                  <c:v>72030000</c:v>
                </c:pt>
                <c:pt idx="37">
                  <c:v>41860000</c:v>
                </c:pt>
                <c:pt idx="38">
                  <c:v>8980000</c:v>
                </c:pt>
                <c:pt idx="39">
                  <c:v>68410000</c:v>
                </c:pt>
                <c:pt idx="40">
                  <c:v>54560000</c:v>
                </c:pt>
                <c:pt idx="41">
                  <c:v>98050000</c:v>
                </c:pt>
                <c:pt idx="42">
                  <c:v>22820000</c:v>
                </c:pt>
                <c:pt idx="43">
                  <c:v>40460000</c:v>
                </c:pt>
                <c:pt idx="44">
                  <c:v>54300000</c:v>
                </c:pt>
                <c:pt idx="45">
                  <c:v>17920000</c:v>
                </c:pt>
                <c:pt idx="46">
                  <c:v>79190000</c:v>
                </c:pt>
                <c:pt idx="47">
                  <c:v>54930000</c:v>
                </c:pt>
                <c:pt idx="48">
                  <c:v>61330000</c:v>
                </c:pt>
                <c:pt idx="49">
                  <c:v>22690000</c:v>
                </c:pt>
                <c:pt idx="50">
                  <c:v>84710000</c:v>
                </c:pt>
                <c:pt idx="51">
                  <c:v>42920000</c:v>
                </c:pt>
                <c:pt idx="52">
                  <c:v>14180000</c:v>
                </c:pt>
                <c:pt idx="53">
                  <c:v>66450000</c:v>
                </c:pt>
                <c:pt idx="54">
                  <c:v>21690000</c:v>
                </c:pt>
                <c:pt idx="55">
                  <c:v>9850000</c:v>
                </c:pt>
                <c:pt idx="56">
                  <c:v>3000000</c:v>
                </c:pt>
                <c:pt idx="57">
                  <c:v>86210000</c:v>
                </c:pt>
                <c:pt idx="58">
                  <c:v>46070000</c:v>
                </c:pt>
                <c:pt idx="59">
                  <c:v>74950000</c:v>
                </c:pt>
                <c:pt idx="60">
                  <c:v>29130000</c:v>
                </c:pt>
                <c:pt idx="61">
                  <c:v>78720000</c:v>
                </c:pt>
                <c:pt idx="62">
                  <c:v>11280000</c:v>
                </c:pt>
                <c:pt idx="63">
                  <c:v>35660000</c:v>
                </c:pt>
                <c:pt idx="64">
                  <c:v>97810000</c:v>
                </c:pt>
                <c:pt idx="65">
                  <c:v>79420000</c:v>
                </c:pt>
                <c:pt idx="66">
                  <c:v>49780000</c:v>
                </c:pt>
                <c:pt idx="67">
                  <c:v>16770000</c:v>
                </c:pt>
                <c:pt idx="68">
                  <c:v>34040000</c:v>
                </c:pt>
                <c:pt idx="69">
                  <c:v>87230000</c:v>
                </c:pt>
                <c:pt idx="70">
                  <c:v>54530000</c:v>
                </c:pt>
                <c:pt idx="71">
                  <c:v>75870000</c:v>
                </c:pt>
                <c:pt idx="72">
                  <c:v>75440000</c:v>
                </c:pt>
                <c:pt idx="73">
                  <c:v>1890000</c:v>
                </c:pt>
                <c:pt idx="74">
                  <c:v>12710000</c:v>
                </c:pt>
                <c:pt idx="75">
                  <c:v>66000000</c:v>
                </c:pt>
                <c:pt idx="76">
                  <c:v>16250000</c:v>
                </c:pt>
                <c:pt idx="77">
                  <c:v>25620000</c:v>
                </c:pt>
                <c:pt idx="78">
                  <c:v>18210000</c:v>
                </c:pt>
                <c:pt idx="79">
                  <c:v>94670000</c:v>
                </c:pt>
                <c:pt idx="80">
                  <c:v>56060000</c:v>
                </c:pt>
                <c:pt idx="81">
                  <c:v>75100000</c:v>
                </c:pt>
                <c:pt idx="82">
                  <c:v>55840000</c:v>
                </c:pt>
                <c:pt idx="83">
                  <c:v>55300000</c:v>
                </c:pt>
                <c:pt idx="84">
                  <c:v>9510000</c:v>
                </c:pt>
                <c:pt idx="85">
                  <c:v>34430000</c:v>
                </c:pt>
                <c:pt idx="86">
                  <c:v>28310000</c:v>
                </c:pt>
                <c:pt idx="87">
                  <c:v>39130000</c:v>
                </c:pt>
                <c:pt idx="88">
                  <c:v>79850000</c:v>
                </c:pt>
                <c:pt idx="89">
                  <c:v>38830000</c:v>
                </c:pt>
                <c:pt idx="90">
                  <c:v>37260000</c:v>
                </c:pt>
                <c:pt idx="91">
                  <c:v>45220000</c:v>
                </c:pt>
                <c:pt idx="92">
                  <c:v>39800000</c:v>
                </c:pt>
                <c:pt idx="93">
                  <c:v>9430000</c:v>
                </c:pt>
                <c:pt idx="94">
                  <c:v>44160000</c:v>
                </c:pt>
                <c:pt idx="95">
                  <c:v>19640000</c:v>
                </c:pt>
                <c:pt idx="96">
                  <c:v>18750000</c:v>
                </c:pt>
                <c:pt idx="97">
                  <c:v>9490000</c:v>
                </c:pt>
                <c:pt idx="98">
                  <c:v>35730000</c:v>
                </c:pt>
                <c:pt idx="99">
                  <c:v>75770000</c:v>
                </c:pt>
                <c:pt idx="100">
                  <c:v>40290000</c:v>
                </c:pt>
                <c:pt idx="101">
                  <c:v>27720000</c:v>
                </c:pt>
                <c:pt idx="102">
                  <c:v>31300000</c:v>
                </c:pt>
                <c:pt idx="103">
                  <c:v>64300000</c:v>
                </c:pt>
                <c:pt idx="104">
                  <c:v>19660000</c:v>
                </c:pt>
                <c:pt idx="105">
                  <c:v>89710000</c:v>
                </c:pt>
                <c:pt idx="106">
                  <c:v>52070000</c:v>
                </c:pt>
                <c:pt idx="107">
                  <c:v>44820000</c:v>
                </c:pt>
                <c:pt idx="108">
                  <c:v>55830000</c:v>
                </c:pt>
                <c:pt idx="109">
                  <c:v>16690000</c:v>
                </c:pt>
                <c:pt idx="110">
                  <c:v>61390000</c:v>
                </c:pt>
                <c:pt idx="111">
                  <c:v>75650000</c:v>
                </c:pt>
                <c:pt idx="112">
                  <c:v>87440000</c:v>
                </c:pt>
                <c:pt idx="113">
                  <c:v>36370000</c:v>
                </c:pt>
                <c:pt idx="114">
                  <c:v>89730000</c:v>
                </c:pt>
                <c:pt idx="115">
                  <c:v>16970000</c:v>
                </c:pt>
                <c:pt idx="116">
                  <c:v>50750000</c:v>
                </c:pt>
                <c:pt idx="117">
                  <c:v>59850000</c:v>
                </c:pt>
                <c:pt idx="118">
                  <c:v>3440000</c:v>
                </c:pt>
                <c:pt idx="119">
                  <c:v>36430000</c:v>
                </c:pt>
                <c:pt idx="120">
                  <c:v>73290000</c:v>
                </c:pt>
                <c:pt idx="121">
                  <c:v>82060000</c:v>
                </c:pt>
                <c:pt idx="122">
                  <c:v>31380000</c:v>
                </c:pt>
                <c:pt idx="123">
                  <c:v>51060000</c:v>
                </c:pt>
                <c:pt idx="124">
                  <c:v>79880000</c:v>
                </c:pt>
                <c:pt idx="125">
                  <c:v>96780000</c:v>
                </c:pt>
                <c:pt idx="126">
                  <c:v>85700000</c:v>
                </c:pt>
                <c:pt idx="127">
                  <c:v>11850000</c:v>
                </c:pt>
                <c:pt idx="128">
                  <c:v>74000000</c:v>
                </c:pt>
                <c:pt idx="129">
                  <c:v>32030000</c:v>
                </c:pt>
                <c:pt idx="130">
                  <c:v>98840000</c:v>
                </c:pt>
                <c:pt idx="131">
                  <c:v>48590000</c:v>
                </c:pt>
                <c:pt idx="132">
                  <c:v>12330000</c:v>
                </c:pt>
                <c:pt idx="133">
                  <c:v>72550000</c:v>
                </c:pt>
                <c:pt idx="134">
                  <c:v>72370000</c:v>
                </c:pt>
                <c:pt idx="135">
                  <c:v>32370000</c:v>
                </c:pt>
                <c:pt idx="136">
                  <c:v>99710000</c:v>
                </c:pt>
                <c:pt idx="137">
                  <c:v>97980000</c:v>
                </c:pt>
                <c:pt idx="138">
                  <c:v>65650000</c:v>
                </c:pt>
                <c:pt idx="139">
                  <c:v>13070000</c:v>
                </c:pt>
                <c:pt idx="140">
                  <c:v>68720000</c:v>
                </c:pt>
                <c:pt idx="141">
                  <c:v>9390000</c:v>
                </c:pt>
                <c:pt idx="142">
                  <c:v>3030000</c:v>
                </c:pt>
                <c:pt idx="143">
                  <c:v>82310000</c:v>
                </c:pt>
                <c:pt idx="144">
                  <c:v>21050000</c:v>
                </c:pt>
                <c:pt idx="145">
                  <c:v>10500000</c:v>
                </c:pt>
                <c:pt idx="146">
                  <c:v>37960000</c:v>
                </c:pt>
                <c:pt idx="147">
                  <c:v>97350000</c:v>
                </c:pt>
                <c:pt idx="148">
                  <c:v>33750000</c:v>
                </c:pt>
                <c:pt idx="149">
                  <c:v>29720000</c:v>
                </c:pt>
                <c:pt idx="150">
                  <c:v>91830000</c:v>
                </c:pt>
                <c:pt idx="151">
                  <c:v>11160000</c:v>
                </c:pt>
                <c:pt idx="152">
                  <c:v>75980000</c:v>
                </c:pt>
                <c:pt idx="153">
                  <c:v>98810000</c:v>
                </c:pt>
                <c:pt idx="154">
                  <c:v>90140000</c:v>
                </c:pt>
                <c:pt idx="155">
                  <c:v>65200000</c:v>
                </c:pt>
                <c:pt idx="156">
                  <c:v>22620000</c:v>
                </c:pt>
                <c:pt idx="157">
                  <c:v>31470000</c:v>
                </c:pt>
                <c:pt idx="158">
                  <c:v>25510000</c:v>
                </c:pt>
                <c:pt idx="159">
                  <c:v>81940000</c:v>
                </c:pt>
                <c:pt idx="160">
                  <c:v>87990000</c:v>
                </c:pt>
                <c:pt idx="161">
                  <c:v>52590000</c:v>
                </c:pt>
                <c:pt idx="162">
                  <c:v>24510000</c:v>
                </c:pt>
                <c:pt idx="163">
                  <c:v>11380000</c:v>
                </c:pt>
                <c:pt idx="164">
                  <c:v>8810000</c:v>
                </c:pt>
                <c:pt idx="165">
                  <c:v>71940000</c:v>
                </c:pt>
                <c:pt idx="166">
                  <c:v>42070000</c:v>
                </c:pt>
                <c:pt idx="167">
                  <c:v>70320000</c:v>
                </c:pt>
                <c:pt idx="168">
                  <c:v>90550000</c:v>
                </c:pt>
                <c:pt idx="169">
                  <c:v>73990000</c:v>
                </c:pt>
                <c:pt idx="170">
                  <c:v>19210000</c:v>
                </c:pt>
                <c:pt idx="171">
                  <c:v>61420000</c:v>
                </c:pt>
                <c:pt idx="172">
                  <c:v>43610000</c:v>
                </c:pt>
                <c:pt idx="173">
                  <c:v>57770000</c:v>
                </c:pt>
                <c:pt idx="174">
                  <c:v>73830000</c:v>
                </c:pt>
                <c:pt idx="175">
                  <c:v>80640000</c:v>
                </c:pt>
                <c:pt idx="176">
                  <c:v>84390000</c:v>
                </c:pt>
                <c:pt idx="177">
                  <c:v>25470000</c:v>
                </c:pt>
                <c:pt idx="178">
                  <c:v>5380000</c:v>
                </c:pt>
                <c:pt idx="179">
                  <c:v>3210000</c:v>
                </c:pt>
                <c:pt idx="180">
                  <c:v>73960000</c:v>
                </c:pt>
                <c:pt idx="181">
                  <c:v>10720000</c:v>
                </c:pt>
                <c:pt idx="182">
                  <c:v>31560000</c:v>
                </c:pt>
                <c:pt idx="183">
                  <c:v>480000</c:v>
                </c:pt>
                <c:pt idx="184">
                  <c:v>68200000</c:v>
                </c:pt>
                <c:pt idx="185">
                  <c:v>16800000</c:v>
                </c:pt>
                <c:pt idx="186">
                  <c:v>65560000</c:v>
                </c:pt>
                <c:pt idx="187">
                  <c:v>99180000</c:v>
                </c:pt>
                <c:pt idx="188">
                  <c:v>7360000</c:v>
                </c:pt>
                <c:pt idx="189">
                  <c:v>48710000</c:v>
                </c:pt>
                <c:pt idx="190">
                  <c:v>7800000</c:v>
                </c:pt>
                <c:pt idx="191">
                  <c:v>34100000</c:v>
                </c:pt>
                <c:pt idx="192">
                  <c:v>86650000</c:v>
                </c:pt>
                <c:pt idx="193">
                  <c:v>21630000</c:v>
                </c:pt>
                <c:pt idx="194">
                  <c:v>36100000</c:v>
                </c:pt>
                <c:pt idx="195">
                  <c:v>6940000</c:v>
                </c:pt>
                <c:pt idx="196">
                  <c:v>76340000</c:v>
                </c:pt>
                <c:pt idx="197">
                  <c:v>40890000</c:v>
                </c:pt>
                <c:pt idx="198">
                  <c:v>75950000</c:v>
                </c:pt>
                <c:pt idx="199">
                  <c:v>90370000</c:v>
                </c:pt>
                <c:pt idx="200">
                  <c:v>59980000</c:v>
                </c:pt>
                <c:pt idx="201">
                  <c:v>23350000</c:v>
                </c:pt>
                <c:pt idx="202">
                  <c:v>80760000</c:v>
                </c:pt>
                <c:pt idx="203">
                  <c:v>6000000</c:v>
                </c:pt>
                <c:pt idx="204">
                  <c:v>89890000</c:v>
                </c:pt>
                <c:pt idx="205">
                  <c:v>65110000</c:v>
                </c:pt>
                <c:pt idx="206">
                  <c:v>87440000</c:v>
                </c:pt>
                <c:pt idx="207">
                  <c:v>120000</c:v>
                </c:pt>
                <c:pt idx="208">
                  <c:v>16990000</c:v>
                </c:pt>
                <c:pt idx="209">
                  <c:v>39040000</c:v>
                </c:pt>
                <c:pt idx="210">
                  <c:v>38010000</c:v>
                </c:pt>
                <c:pt idx="211">
                  <c:v>60250000</c:v>
                </c:pt>
                <c:pt idx="212">
                  <c:v>22750000</c:v>
                </c:pt>
                <c:pt idx="213">
                  <c:v>38220000</c:v>
                </c:pt>
                <c:pt idx="214">
                  <c:v>12970000</c:v>
                </c:pt>
                <c:pt idx="215">
                  <c:v>41330000</c:v>
                </c:pt>
                <c:pt idx="216">
                  <c:v>80260000</c:v>
                </c:pt>
                <c:pt idx="217">
                  <c:v>47960000</c:v>
                </c:pt>
                <c:pt idx="218">
                  <c:v>1900000</c:v>
                </c:pt>
                <c:pt idx="219">
                  <c:v>42200000</c:v>
                </c:pt>
                <c:pt idx="220">
                  <c:v>2810000</c:v>
                </c:pt>
                <c:pt idx="221">
                  <c:v>96630000</c:v>
                </c:pt>
                <c:pt idx="222">
                  <c:v>84210000</c:v>
                </c:pt>
                <c:pt idx="223">
                  <c:v>2390000</c:v>
                </c:pt>
                <c:pt idx="224">
                  <c:v>12830000</c:v>
                </c:pt>
                <c:pt idx="225">
                  <c:v>70800000</c:v>
                </c:pt>
                <c:pt idx="226">
                  <c:v>97280000</c:v>
                </c:pt>
                <c:pt idx="227">
                  <c:v>82620000</c:v>
                </c:pt>
                <c:pt idx="228">
                  <c:v>69960000</c:v>
                </c:pt>
                <c:pt idx="229">
                  <c:v>83960000</c:v>
                </c:pt>
                <c:pt idx="230">
                  <c:v>98180000</c:v>
                </c:pt>
                <c:pt idx="231">
                  <c:v>62170000</c:v>
                </c:pt>
                <c:pt idx="232">
                  <c:v>55960000</c:v>
                </c:pt>
                <c:pt idx="233">
                  <c:v>62860000</c:v>
                </c:pt>
                <c:pt idx="234">
                  <c:v>32280000</c:v>
                </c:pt>
                <c:pt idx="235">
                  <c:v>53310000</c:v>
                </c:pt>
                <c:pt idx="236">
                  <c:v>63550000</c:v>
                </c:pt>
                <c:pt idx="237">
                  <c:v>45040000</c:v>
                </c:pt>
                <c:pt idx="238">
                  <c:v>21920000</c:v>
                </c:pt>
                <c:pt idx="239">
                  <c:v>12110000</c:v>
                </c:pt>
                <c:pt idx="240">
                  <c:v>6930000</c:v>
                </c:pt>
                <c:pt idx="241">
                  <c:v>26410000</c:v>
                </c:pt>
                <c:pt idx="242">
                  <c:v>4710000</c:v>
                </c:pt>
                <c:pt idx="243">
                  <c:v>56760000</c:v>
                </c:pt>
                <c:pt idx="244">
                  <c:v>28450000</c:v>
                </c:pt>
                <c:pt idx="245">
                  <c:v>63690000</c:v>
                </c:pt>
                <c:pt idx="246">
                  <c:v>82470000</c:v>
                </c:pt>
                <c:pt idx="247">
                  <c:v>7520000</c:v>
                </c:pt>
                <c:pt idx="248">
                  <c:v>22710000</c:v>
                </c:pt>
                <c:pt idx="249">
                  <c:v>73050000</c:v>
                </c:pt>
                <c:pt idx="250">
                  <c:v>59920000</c:v>
                </c:pt>
                <c:pt idx="251">
                  <c:v>6540000</c:v>
                </c:pt>
                <c:pt idx="252">
                  <c:v>87740000</c:v>
                </c:pt>
                <c:pt idx="253">
                  <c:v>87740000</c:v>
                </c:pt>
                <c:pt idx="254">
                  <c:v>33110000</c:v>
                </c:pt>
                <c:pt idx="255">
                  <c:v>34110000</c:v>
                </c:pt>
                <c:pt idx="256">
                  <c:v>14990000</c:v>
                </c:pt>
                <c:pt idx="257">
                  <c:v>98900000</c:v>
                </c:pt>
                <c:pt idx="258">
                  <c:v>62650000</c:v>
                </c:pt>
                <c:pt idx="259">
                  <c:v>53180000</c:v>
                </c:pt>
                <c:pt idx="260">
                  <c:v>83830000</c:v>
                </c:pt>
                <c:pt idx="261">
                  <c:v>28600000</c:v>
                </c:pt>
                <c:pt idx="262">
                  <c:v>42980000</c:v>
                </c:pt>
                <c:pt idx="263">
                  <c:v>26850000</c:v>
                </c:pt>
                <c:pt idx="264">
                  <c:v>78940000</c:v>
                </c:pt>
                <c:pt idx="265">
                  <c:v>57380000</c:v>
                </c:pt>
                <c:pt idx="266">
                  <c:v>65920000</c:v>
                </c:pt>
                <c:pt idx="267">
                  <c:v>69570000</c:v>
                </c:pt>
                <c:pt idx="268">
                  <c:v>25310000</c:v>
                </c:pt>
                <c:pt idx="269">
                  <c:v>22100000</c:v>
                </c:pt>
                <c:pt idx="270">
                  <c:v>48890000</c:v>
                </c:pt>
                <c:pt idx="271">
                  <c:v>73780000</c:v>
                </c:pt>
                <c:pt idx="272">
                  <c:v>52570000</c:v>
                </c:pt>
                <c:pt idx="273">
                  <c:v>3360000</c:v>
                </c:pt>
                <c:pt idx="274">
                  <c:v>86870000</c:v>
                </c:pt>
                <c:pt idx="275">
                  <c:v>6560000</c:v>
                </c:pt>
                <c:pt idx="276">
                  <c:v>95590000</c:v>
                </c:pt>
                <c:pt idx="277">
                  <c:v>2610000</c:v>
                </c:pt>
                <c:pt idx="278">
                  <c:v>74620000</c:v>
                </c:pt>
                <c:pt idx="279">
                  <c:v>69480000</c:v>
                </c:pt>
                <c:pt idx="280">
                  <c:v>8310000</c:v>
                </c:pt>
                <c:pt idx="281">
                  <c:v>91080000</c:v>
                </c:pt>
                <c:pt idx="282">
                  <c:v>46500000</c:v>
                </c:pt>
                <c:pt idx="283">
                  <c:v>13840000</c:v>
                </c:pt>
                <c:pt idx="284">
                  <c:v>34150000</c:v>
                </c:pt>
                <c:pt idx="285">
                  <c:v>16570000</c:v>
                </c:pt>
                <c:pt idx="286">
                  <c:v>17140000</c:v>
                </c:pt>
                <c:pt idx="287">
                  <c:v>94820000</c:v>
                </c:pt>
                <c:pt idx="288">
                  <c:v>44580000</c:v>
                </c:pt>
                <c:pt idx="289">
                  <c:v>98200000</c:v>
                </c:pt>
                <c:pt idx="290">
                  <c:v>78900000</c:v>
                </c:pt>
                <c:pt idx="291">
                  <c:v>64000000</c:v>
                </c:pt>
                <c:pt idx="292">
                  <c:v>67670000</c:v>
                </c:pt>
                <c:pt idx="293">
                  <c:v>13260000</c:v>
                </c:pt>
                <c:pt idx="294">
                  <c:v>23500000</c:v>
                </c:pt>
                <c:pt idx="295">
                  <c:v>78700000</c:v>
                </c:pt>
                <c:pt idx="296">
                  <c:v>97080000</c:v>
                </c:pt>
                <c:pt idx="297">
                  <c:v>26340000</c:v>
                </c:pt>
                <c:pt idx="298">
                  <c:v>27230000</c:v>
                </c:pt>
                <c:pt idx="299">
                  <c:v>47340000</c:v>
                </c:pt>
                <c:pt idx="300">
                  <c:v>21060000</c:v>
                </c:pt>
                <c:pt idx="301">
                  <c:v>98390000</c:v>
                </c:pt>
                <c:pt idx="302">
                  <c:v>26970000</c:v>
                </c:pt>
                <c:pt idx="303">
                  <c:v>40760000</c:v>
                </c:pt>
                <c:pt idx="304">
                  <c:v>89160000</c:v>
                </c:pt>
                <c:pt idx="305">
                  <c:v>390000</c:v>
                </c:pt>
                <c:pt idx="306">
                  <c:v>4070000</c:v>
                </c:pt>
                <c:pt idx="307">
                  <c:v>60450000</c:v>
                </c:pt>
                <c:pt idx="308">
                  <c:v>90750000</c:v>
                </c:pt>
                <c:pt idx="309">
                  <c:v>23960000</c:v>
                </c:pt>
                <c:pt idx="310">
                  <c:v>47020000</c:v>
                </c:pt>
                <c:pt idx="311">
                  <c:v>82530000</c:v>
                </c:pt>
                <c:pt idx="312">
                  <c:v>45100000</c:v>
                </c:pt>
                <c:pt idx="313">
                  <c:v>47350000</c:v>
                </c:pt>
                <c:pt idx="314">
                  <c:v>62290000</c:v>
                </c:pt>
                <c:pt idx="315">
                  <c:v>47030000</c:v>
                </c:pt>
                <c:pt idx="316">
                  <c:v>44800000</c:v>
                </c:pt>
                <c:pt idx="317">
                  <c:v>47480000</c:v>
                </c:pt>
                <c:pt idx="318">
                  <c:v>59130000</c:v>
                </c:pt>
                <c:pt idx="319">
                  <c:v>53750000</c:v>
                </c:pt>
                <c:pt idx="320">
                  <c:v>85430000</c:v>
                </c:pt>
                <c:pt idx="321">
                  <c:v>5040000</c:v>
                </c:pt>
                <c:pt idx="322">
                  <c:v>52080000</c:v>
                </c:pt>
                <c:pt idx="323">
                  <c:v>83350000</c:v>
                </c:pt>
                <c:pt idx="324">
                  <c:v>84410000</c:v>
                </c:pt>
                <c:pt idx="325">
                  <c:v>28560000</c:v>
                </c:pt>
                <c:pt idx="326">
                  <c:v>46340000</c:v>
                </c:pt>
                <c:pt idx="327">
                  <c:v>43910000</c:v>
                </c:pt>
                <c:pt idx="328">
                  <c:v>21930000</c:v>
                </c:pt>
                <c:pt idx="329">
                  <c:v>39740000</c:v>
                </c:pt>
                <c:pt idx="330">
                  <c:v>4530000</c:v>
                </c:pt>
                <c:pt idx="331">
                  <c:v>27850000</c:v>
                </c:pt>
                <c:pt idx="332">
                  <c:v>81690000</c:v>
                </c:pt>
                <c:pt idx="333">
                  <c:v>47080000</c:v>
                </c:pt>
                <c:pt idx="334">
                  <c:v>37410000</c:v>
                </c:pt>
                <c:pt idx="335">
                  <c:v>28530000</c:v>
                </c:pt>
                <c:pt idx="336">
                  <c:v>81840000</c:v>
                </c:pt>
                <c:pt idx="337">
                  <c:v>53210000</c:v>
                </c:pt>
                <c:pt idx="338">
                  <c:v>88000000</c:v>
                </c:pt>
                <c:pt idx="339">
                  <c:v>57520000</c:v>
                </c:pt>
                <c:pt idx="340">
                  <c:v>3060000</c:v>
                </c:pt>
                <c:pt idx="341">
                  <c:v>67570000</c:v>
                </c:pt>
                <c:pt idx="342">
                  <c:v>4580000</c:v>
                </c:pt>
                <c:pt idx="343">
                  <c:v>45110000</c:v>
                </c:pt>
                <c:pt idx="344">
                  <c:v>92950000</c:v>
                </c:pt>
                <c:pt idx="345">
                  <c:v>12330000</c:v>
                </c:pt>
                <c:pt idx="346">
                  <c:v>16600000</c:v>
                </c:pt>
                <c:pt idx="347">
                  <c:v>39050000</c:v>
                </c:pt>
                <c:pt idx="348">
                  <c:v>73010000</c:v>
                </c:pt>
                <c:pt idx="349">
                  <c:v>88240000</c:v>
                </c:pt>
                <c:pt idx="350">
                  <c:v>67130000</c:v>
                </c:pt>
                <c:pt idx="351">
                  <c:v>25890000</c:v>
                </c:pt>
                <c:pt idx="352">
                  <c:v>67490000</c:v>
                </c:pt>
                <c:pt idx="353">
                  <c:v>29740000</c:v>
                </c:pt>
                <c:pt idx="354">
                  <c:v>71870000</c:v>
                </c:pt>
                <c:pt idx="355">
                  <c:v>95410000</c:v>
                </c:pt>
                <c:pt idx="356">
                  <c:v>73580000</c:v>
                </c:pt>
                <c:pt idx="357">
                  <c:v>72170000</c:v>
                </c:pt>
                <c:pt idx="358">
                  <c:v>86300000</c:v>
                </c:pt>
                <c:pt idx="359">
                  <c:v>310000</c:v>
                </c:pt>
                <c:pt idx="360">
                  <c:v>71790000</c:v>
                </c:pt>
                <c:pt idx="361">
                  <c:v>82980000</c:v>
                </c:pt>
                <c:pt idx="362">
                  <c:v>4150000</c:v>
                </c:pt>
                <c:pt idx="363">
                  <c:v>87170000</c:v>
                </c:pt>
                <c:pt idx="364">
                  <c:v>25740000</c:v>
                </c:pt>
                <c:pt idx="365">
                  <c:v>66560000</c:v>
                </c:pt>
                <c:pt idx="366">
                  <c:v>80060000</c:v>
                </c:pt>
                <c:pt idx="367">
                  <c:v>23660000</c:v>
                </c:pt>
                <c:pt idx="368">
                  <c:v>66300000</c:v>
                </c:pt>
                <c:pt idx="369">
                  <c:v>9320000</c:v>
                </c:pt>
                <c:pt idx="370">
                  <c:v>59670000</c:v>
                </c:pt>
                <c:pt idx="371">
                  <c:v>55000000</c:v>
                </c:pt>
                <c:pt idx="372">
                  <c:v>90040000</c:v>
                </c:pt>
                <c:pt idx="373">
                  <c:v>40480000</c:v>
                </c:pt>
                <c:pt idx="374">
                  <c:v>32180000</c:v>
                </c:pt>
                <c:pt idx="375">
                  <c:v>75010000</c:v>
                </c:pt>
                <c:pt idx="376">
                  <c:v>41330000</c:v>
                </c:pt>
                <c:pt idx="377">
                  <c:v>64650000</c:v>
                </c:pt>
                <c:pt idx="378">
                  <c:v>37210000</c:v>
                </c:pt>
                <c:pt idx="379">
                  <c:v>64680000</c:v>
                </c:pt>
                <c:pt idx="380">
                  <c:v>88820000</c:v>
                </c:pt>
                <c:pt idx="381">
                  <c:v>59910000</c:v>
                </c:pt>
                <c:pt idx="382">
                  <c:v>50270000</c:v>
                </c:pt>
                <c:pt idx="383">
                  <c:v>13970000</c:v>
                </c:pt>
                <c:pt idx="384">
                  <c:v>11660000</c:v>
                </c:pt>
                <c:pt idx="385">
                  <c:v>15520000</c:v>
                </c:pt>
                <c:pt idx="386">
                  <c:v>17270000</c:v>
                </c:pt>
                <c:pt idx="387">
                  <c:v>63820000</c:v>
                </c:pt>
                <c:pt idx="388">
                  <c:v>74120000</c:v>
                </c:pt>
                <c:pt idx="389">
                  <c:v>6350000</c:v>
                </c:pt>
                <c:pt idx="390">
                  <c:v>53050000</c:v>
                </c:pt>
                <c:pt idx="391">
                  <c:v>82920000</c:v>
                </c:pt>
                <c:pt idx="392">
                  <c:v>99130000</c:v>
                </c:pt>
                <c:pt idx="393">
                  <c:v>82020000</c:v>
                </c:pt>
                <c:pt idx="394">
                  <c:v>69520000</c:v>
                </c:pt>
                <c:pt idx="395">
                  <c:v>53300000</c:v>
                </c:pt>
                <c:pt idx="396">
                  <c:v>44940000</c:v>
                </c:pt>
                <c:pt idx="397">
                  <c:v>8530000</c:v>
                </c:pt>
                <c:pt idx="398">
                  <c:v>40000000</c:v>
                </c:pt>
                <c:pt idx="399">
                  <c:v>91020000</c:v>
                </c:pt>
                <c:pt idx="400">
                  <c:v>80160000</c:v>
                </c:pt>
                <c:pt idx="401">
                  <c:v>80820000</c:v>
                </c:pt>
                <c:pt idx="402">
                  <c:v>21680000</c:v>
                </c:pt>
                <c:pt idx="403">
                  <c:v>46710000</c:v>
                </c:pt>
                <c:pt idx="404">
                  <c:v>81690000</c:v>
                </c:pt>
                <c:pt idx="405">
                  <c:v>6830000</c:v>
                </c:pt>
                <c:pt idx="406">
                  <c:v>38800000</c:v>
                </c:pt>
                <c:pt idx="407">
                  <c:v>85200000</c:v>
                </c:pt>
                <c:pt idx="408">
                  <c:v>40450000</c:v>
                </c:pt>
                <c:pt idx="409">
                  <c:v>7850000</c:v>
                </c:pt>
                <c:pt idx="410">
                  <c:v>54300000</c:v>
                </c:pt>
                <c:pt idx="411">
                  <c:v>76680000</c:v>
                </c:pt>
                <c:pt idx="412">
                  <c:v>86190000</c:v>
                </c:pt>
                <c:pt idx="413">
                  <c:v>59070000</c:v>
                </c:pt>
                <c:pt idx="414">
                  <c:v>22710000</c:v>
                </c:pt>
                <c:pt idx="415">
                  <c:v>38490000</c:v>
                </c:pt>
                <c:pt idx="416">
                  <c:v>45070000</c:v>
                </c:pt>
                <c:pt idx="417">
                  <c:v>57970000</c:v>
                </c:pt>
                <c:pt idx="418">
                  <c:v>75960000</c:v>
                </c:pt>
                <c:pt idx="419">
                  <c:v>9980000</c:v>
                </c:pt>
                <c:pt idx="420">
                  <c:v>88980000</c:v>
                </c:pt>
                <c:pt idx="421">
                  <c:v>1330000</c:v>
                </c:pt>
                <c:pt idx="422">
                  <c:v>73390000</c:v>
                </c:pt>
                <c:pt idx="423">
                  <c:v>37070000</c:v>
                </c:pt>
                <c:pt idx="424">
                  <c:v>2840000</c:v>
                </c:pt>
                <c:pt idx="425">
                  <c:v>39360000</c:v>
                </c:pt>
                <c:pt idx="426">
                  <c:v>52630000</c:v>
                </c:pt>
                <c:pt idx="427">
                  <c:v>51220000</c:v>
                </c:pt>
                <c:pt idx="428">
                  <c:v>16650000</c:v>
                </c:pt>
                <c:pt idx="429">
                  <c:v>64610000</c:v>
                </c:pt>
                <c:pt idx="430">
                  <c:v>4570000</c:v>
                </c:pt>
                <c:pt idx="431">
                  <c:v>76210000</c:v>
                </c:pt>
                <c:pt idx="432">
                  <c:v>94670000</c:v>
                </c:pt>
                <c:pt idx="433">
                  <c:v>30010000</c:v>
                </c:pt>
                <c:pt idx="434">
                  <c:v>34040000</c:v>
                </c:pt>
                <c:pt idx="435">
                  <c:v>51770000</c:v>
                </c:pt>
                <c:pt idx="436">
                  <c:v>37950000</c:v>
                </c:pt>
                <c:pt idx="437">
                  <c:v>770000</c:v>
                </c:pt>
                <c:pt idx="438">
                  <c:v>38650000</c:v>
                </c:pt>
                <c:pt idx="439">
                  <c:v>79190000</c:v>
                </c:pt>
                <c:pt idx="440">
                  <c:v>59640000</c:v>
                </c:pt>
                <c:pt idx="441">
                  <c:v>10220000</c:v>
                </c:pt>
                <c:pt idx="442">
                  <c:v>84730000</c:v>
                </c:pt>
                <c:pt idx="443">
                  <c:v>53160000</c:v>
                </c:pt>
                <c:pt idx="444">
                  <c:v>50250000</c:v>
                </c:pt>
                <c:pt idx="445">
                  <c:v>17430000</c:v>
                </c:pt>
                <c:pt idx="446">
                  <c:v>84190000</c:v>
                </c:pt>
                <c:pt idx="447">
                  <c:v>63790000</c:v>
                </c:pt>
                <c:pt idx="448">
                  <c:v>49670000</c:v>
                </c:pt>
                <c:pt idx="449">
                  <c:v>17910000</c:v>
                </c:pt>
                <c:pt idx="450">
                  <c:v>68620000</c:v>
                </c:pt>
                <c:pt idx="451">
                  <c:v>99110000</c:v>
                </c:pt>
                <c:pt idx="452">
                  <c:v>74750000</c:v>
                </c:pt>
                <c:pt idx="453">
                  <c:v>74020000</c:v>
                </c:pt>
                <c:pt idx="454">
                  <c:v>95040000</c:v>
                </c:pt>
                <c:pt idx="455">
                  <c:v>20370000</c:v>
                </c:pt>
                <c:pt idx="456">
                  <c:v>12560000</c:v>
                </c:pt>
                <c:pt idx="457">
                  <c:v>56600000</c:v>
                </c:pt>
                <c:pt idx="458">
                  <c:v>97970000</c:v>
                </c:pt>
                <c:pt idx="459">
                  <c:v>16610000</c:v>
                </c:pt>
                <c:pt idx="460">
                  <c:v>70060000</c:v>
                </c:pt>
                <c:pt idx="461">
                  <c:v>58620000</c:v>
                </c:pt>
                <c:pt idx="462">
                  <c:v>58690000</c:v>
                </c:pt>
                <c:pt idx="463">
                  <c:v>69800000</c:v>
                </c:pt>
                <c:pt idx="464">
                  <c:v>92970000</c:v>
                </c:pt>
                <c:pt idx="465">
                  <c:v>78280000</c:v>
                </c:pt>
                <c:pt idx="466">
                  <c:v>5710000</c:v>
                </c:pt>
                <c:pt idx="467">
                  <c:v>38600000</c:v>
                </c:pt>
                <c:pt idx="468">
                  <c:v>85290000</c:v>
                </c:pt>
                <c:pt idx="469">
                  <c:v>22630000</c:v>
                </c:pt>
                <c:pt idx="470">
                  <c:v>37750000</c:v>
                </c:pt>
                <c:pt idx="471">
                  <c:v>46230000</c:v>
                </c:pt>
                <c:pt idx="472">
                  <c:v>48140000</c:v>
                </c:pt>
                <c:pt idx="473">
                  <c:v>43570000</c:v>
                </c:pt>
                <c:pt idx="474">
                  <c:v>93740000</c:v>
                </c:pt>
                <c:pt idx="475">
                  <c:v>70630000</c:v>
                </c:pt>
                <c:pt idx="476">
                  <c:v>63150000</c:v>
                </c:pt>
                <c:pt idx="477">
                  <c:v>5080000</c:v>
                </c:pt>
                <c:pt idx="478">
                  <c:v>64370000</c:v>
                </c:pt>
                <c:pt idx="479">
                  <c:v>90400000</c:v>
                </c:pt>
                <c:pt idx="480">
                  <c:v>90950000</c:v>
                </c:pt>
                <c:pt idx="481">
                  <c:v>78040000</c:v>
                </c:pt>
                <c:pt idx="482">
                  <c:v>800000</c:v>
                </c:pt>
                <c:pt idx="483">
                  <c:v>5820000</c:v>
                </c:pt>
                <c:pt idx="484">
                  <c:v>22600000</c:v>
                </c:pt>
                <c:pt idx="485">
                  <c:v>13220000</c:v>
                </c:pt>
                <c:pt idx="486">
                  <c:v>39940000</c:v>
                </c:pt>
                <c:pt idx="487">
                  <c:v>92270000</c:v>
                </c:pt>
                <c:pt idx="488">
                  <c:v>47260000</c:v>
                </c:pt>
                <c:pt idx="489">
                  <c:v>78060000</c:v>
                </c:pt>
                <c:pt idx="490">
                  <c:v>1440000</c:v>
                </c:pt>
                <c:pt idx="491">
                  <c:v>28350000</c:v>
                </c:pt>
                <c:pt idx="492">
                  <c:v>4560000</c:v>
                </c:pt>
                <c:pt idx="493">
                  <c:v>3730000</c:v>
                </c:pt>
                <c:pt idx="494">
                  <c:v>27640000</c:v>
                </c:pt>
                <c:pt idx="495">
                  <c:v>27630000</c:v>
                </c:pt>
                <c:pt idx="496">
                  <c:v>78730000</c:v>
                </c:pt>
                <c:pt idx="497">
                  <c:v>97490000</c:v>
                </c:pt>
                <c:pt idx="498">
                  <c:v>37180000</c:v>
                </c:pt>
                <c:pt idx="499">
                  <c:v>42950000</c:v>
                </c:pt>
              </c:numCache>
            </c:numRef>
          </c:yVal>
          <c:smooth val="0"/>
          <c:extLst>
            <c:ext xmlns:c16="http://schemas.microsoft.com/office/drawing/2014/chart" uri="{C3380CC4-5D6E-409C-BE32-E72D297353CC}">
              <c16:uniqueId val="{00000001-672A-4279-AA72-F3C747F7C2EB}"/>
            </c:ext>
          </c:extLst>
        </c:ser>
        <c:dLbls>
          <c:showLegendKey val="0"/>
          <c:showVal val="0"/>
          <c:showCatName val="0"/>
          <c:showSerName val="0"/>
          <c:showPercent val="0"/>
          <c:showBubbleSize val="0"/>
        </c:dLbls>
        <c:axId val="161886176"/>
        <c:axId val="1337186944"/>
      </c:scatterChart>
      <c:valAx>
        <c:axId val="1618861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t>Funding</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quot;B&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186944"/>
        <c:crosses val="autoZero"/>
        <c:crossBetween val="midCat"/>
      </c:valAx>
      <c:valAx>
        <c:axId val="13371869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t>Revenue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quot;M&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88617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[Analysis_Workbook.xlsm]G&amp;R calculations!PivotTable3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0" i="0" u="none" strike="noStrike" baseline="0">
                <a:solidFill>
                  <a:schemeClr val="accent2">
                    <a:lumMod val="50000"/>
                  </a:schemeClr>
                </a:solidFill>
              </a:rPr>
              <a:t>Efficiency: Revenue per Employee by Startup / Industry</a:t>
            </a:r>
            <a:endParaRPr lang="en-US" sz="1600">
              <a:solidFill>
                <a:schemeClr val="accent2">
                  <a:lumMod val="50000"/>
                </a:schemeClr>
              </a:solidFill>
            </a:endParaRPr>
          </a:p>
        </c:rich>
      </c:tx>
      <c:layout>
        <c:manualLayout>
          <c:xMode val="edge"/>
          <c:yMode val="edge"/>
          <c:x val="0.14856073300308772"/>
          <c:y val="1.85185022035487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lumMod val="60000"/>
              <a:lumOff val="40000"/>
            </a:schemeClr>
          </a:solidFill>
          <a:ln>
            <a:noFill/>
          </a:ln>
          <a:effectLst/>
        </c:spPr>
        <c:marker>
          <c:symbol val="none"/>
        </c:marker>
        <c:dLbl>
          <c:idx val="0"/>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lumMod val="60000"/>
              <a:lumOff val="40000"/>
            </a:schemeClr>
          </a:solidFill>
          <a:ln>
            <a:noFill/>
          </a:ln>
          <a:effectLst/>
        </c:spPr>
      </c:pivotFmt>
      <c:pivotFmt>
        <c:idx val="2"/>
        <c:spPr>
          <a:solidFill>
            <a:schemeClr val="accent3">
              <a:lumMod val="60000"/>
              <a:lumOff val="40000"/>
            </a:schemeClr>
          </a:solidFill>
          <a:ln>
            <a:noFill/>
          </a:ln>
          <a:effectLst/>
        </c:spPr>
        <c:marker>
          <c:symbol val="none"/>
        </c:marker>
        <c:dLbl>
          <c:idx val="0"/>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lumMod val="60000"/>
              <a:lumOff val="40000"/>
            </a:schemeClr>
          </a:solidFill>
          <a:ln>
            <a:noFill/>
          </a:ln>
          <a:effectLst/>
        </c:spPr>
        <c:marker>
          <c:symbol val="none"/>
        </c:marker>
        <c:dLbl>
          <c:idx val="0"/>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'G&amp;R calculations'!$G$1</c:f>
              <c:strCache>
                <c:ptCount val="1"/>
                <c:pt idx="0">
                  <c:v>Total</c:v>
                </c:pt>
              </c:strCache>
            </c:strRef>
          </c:tx>
          <c:spPr>
            <a:solidFill>
              <a:schemeClr val="accent3">
                <a:lumMod val="60000"/>
                <a:lumOff val="40000"/>
              </a:schemeClr>
            </a:solidFill>
            <a:ln>
              <a:noFill/>
            </a:ln>
            <a:effectLst/>
          </c:spPr>
          <c:invertIfNegative val="0"/>
          <c:dLbls>
            <c:numFmt formatCode="&quot;$&quot;0.00,&quot;K&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'G&amp;R calculations'!$F$2:$F$10</c:f>
              <c:strCache>
                <c:ptCount val="8"/>
                <c:pt idx="0">
                  <c:v>AI</c:v>
                </c:pt>
                <c:pt idx="1">
                  <c:v>Cybersecurity</c:v>
                </c:pt>
                <c:pt idx="2">
                  <c:v>E-Commerce</c:v>
                </c:pt>
                <c:pt idx="3">
                  <c:v>EdTech</c:v>
                </c:pt>
                <c:pt idx="4">
                  <c:v>FinTech</c:v>
                </c:pt>
                <c:pt idx="5">
                  <c:v>Gaming</c:v>
                </c:pt>
                <c:pt idx="6">
                  <c:v>HealthTech</c:v>
                </c:pt>
                <c:pt idx="7">
                  <c:v>IoT</c:v>
                </c:pt>
              </c:strCache>
            </c:strRef>
          </c:cat>
          <c:val>
            <c:numRef>
              <c:f>'G&amp;R calculations'!$G$2:$G$10</c:f>
              <c:numCache>
                <c:formatCode>"$"#,##0.00</c:formatCode>
                <c:ptCount val="8"/>
                <c:pt idx="0">
                  <c:v>45226.677419354841</c:v>
                </c:pt>
                <c:pt idx="1">
                  <c:v>104527.13725490196</c:v>
                </c:pt>
                <c:pt idx="2">
                  <c:v>52454.214285714283</c:v>
                </c:pt>
                <c:pt idx="3">
                  <c:v>32990.054054054053</c:v>
                </c:pt>
                <c:pt idx="4">
                  <c:v>39310.521126760563</c:v>
                </c:pt>
                <c:pt idx="5">
                  <c:v>40826.709677419356</c:v>
                </c:pt>
                <c:pt idx="6">
                  <c:v>59609.040816326531</c:v>
                </c:pt>
                <c:pt idx="7">
                  <c:v>27002.475409836065</c:v>
                </c:pt>
              </c:numCache>
            </c:numRef>
          </c:val>
          <c:extLst>
            <c:ext xmlns:c16="http://schemas.microsoft.com/office/drawing/2014/chart" uri="{C3380CC4-5D6E-409C-BE32-E72D297353CC}">
              <c16:uniqueId val="{00000000-7120-479E-9C5F-BE55B13B3EBB}"/>
            </c:ext>
          </c:extLst>
        </c:ser>
        <c:dLbls>
          <c:dLblPos val="outEnd"/>
          <c:showLegendKey val="0"/>
          <c:showVal val="1"/>
          <c:showCatName val="0"/>
          <c:showSerName val="0"/>
          <c:showPercent val="0"/>
          <c:showBubbleSize val="0"/>
        </c:dLbls>
        <c:gapWidth val="182"/>
        <c:axId val="136470079"/>
        <c:axId val="136470559"/>
      </c:barChart>
      <c:catAx>
        <c:axId val="1364700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6470559"/>
        <c:crosses val="autoZero"/>
        <c:auto val="1"/>
        <c:lblAlgn val="ctr"/>
        <c:lblOffset val="100"/>
        <c:noMultiLvlLbl val="0"/>
      </c:catAx>
      <c:valAx>
        <c:axId val="1364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t>Average</a:t>
                </a:r>
                <a:r>
                  <a:rPr lang="en-US" sz="1400" baseline="0"/>
                  <a:t> Revenue</a:t>
                </a:r>
                <a:endParaRPr lang="en-US" sz="1400"/>
              </a:p>
            </c:rich>
          </c:tx>
          <c:layout>
            <c:manualLayout>
              <c:xMode val="edge"/>
              <c:yMode val="edge"/>
              <c:x val="0.43097134733158349"/>
              <c:y val="0.9022656304833593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700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[Analysis_Workbook.xlsm]G&amp;R calculations!PivotTable4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a:solidFill>
                  <a:schemeClr val="accent2">
                    <a:lumMod val="50000"/>
                  </a:schemeClr>
                </a:solidFill>
              </a:rPr>
              <a:t>Market Dominance by</a:t>
            </a:r>
            <a:r>
              <a:rPr lang="en-US" sz="1600" baseline="0">
                <a:solidFill>
                  <a:schemeClr val="accent2">
                    <a:lumMod val="50000"/>
                  </a:schemeClr>
                </a:solidFill>
              </a:rPr>
              <a:t> Revenue</a:t>
            </a:r>
            <a:endParaRPr lang="en-US" sz="1600">
              <a:solidFill>
                <a:schemeClr val="accent2">
                  <a:lumMod val="50000"/>
                </a:schemeClr>
              </a:solidFill>
            </a:endParaRPr>
          </a:p>
        </c:rich>
      </c:tx>
      <c:layout>
        <c:manualLayout>
          <c:xMode val="edge"/>
          <c:yMode val="edge"/>
          <c:x val="0.23380947244608119"/>
          <c:y val="2.06718312605617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3621E-3"/>
              <c:y val="-3.7897919511029747E-17"/>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9.5671867175727539E-17"/>
              <c:y val="2.4806197512674037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5.2185257664709717E-3"/>
              <c:y val="6.2015493781685242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4575E-3"/>
              <c:y val="6.2015493781685277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pivotFmt>
      <c:pivotFmt>
        <c:idx val="7"/>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9.5671867175727539E-17"/>
              <c:y val="-8.2687325042247045E-3"/>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4575E-3"/>
              <c:y val="7.4418592538022341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4575E-3"/>
              <c:y val="4.5478028773235868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4575E-3"/>
              <c:y val="7.4418592538022341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4575E-3"/>
              <c:y val="4.5478028773235868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5.2185257664709717E-3"/>
              <c:y val="6.2015493781685242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4575E-3"/>
              <c:y val="6.2015493781685277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9.5671867175727539E-17"/>
              <c:y val="-8.2687325042247045E-3"/>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9.5671867175727539E-17"/>
              <c:y val="2.4806197512674037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3621E-3"/>
              <c:y val="-3.7897919511029747E-17"/>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3">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4575E-3"/>
              <c:y val="7.4418592538022341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4575E-3"/>
              <c:y val="4.5478028773235868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5.2185257664709717E-3"/>
              <c:y val="6.2015493781685242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4575E-3"/>
              <c:y val="6.2015493781685277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9.5671867175727539E-17"/>
              <c:y val="-8.2687325042247045E-3"/>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9.5671867175727539E-17"/>
              <c:y val="2.4806197512674037E-2"/>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diamond"/>
          <c:size val="6"/>
          <c:spPr>
            <a:solidFill>
              <a:schemeClr val="accent2">
                <a:lumMod val="75000"/>
              </a:schemeClr>
            </a:solidFill>
            <a:ln w="9525">
              <a:solidFill>
                <a:schemeClr val="accent2"/>
              </a:solidFill>
            </a:ln>
            <a:effectLst/>
          </c:spPr>
        </c:marker>
        <c:dLbl>
          <c:idx val="0"/>
          <c:layout>
            <c:manualLayout>
              <c:x val="-7.8277886497063621E-3"/>
              <c:y val="-3.7897919511029747E-17"/>
            </c:manualLayout>
          </c:layout>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'G&amp;R calculations'!$G$14</c:f>
              <c:strCache>
                <c:ptCount val="1"/>
                <c:pt idx="0">
                  <c:v>Sum of Revenue</c:v>
                </c:pt>
              </c:strCache>
            </c:strRef>
          </c:tx>
          <c:spPr>
            <a:solidFill>
              <a:schemeClr val="accent3">
                <a:lumMod val="60000"/>
                <a:lumOff val="40000"/>
              </a:schemeClr>
            </a:solidFill>
            <a:ln>
              <a:noFill/>
            </a:ln>
            <a:effectLst/>
          </c:spPr>
          <c:invertIfNegative val="0"/>
          <c:cat>
            <c:strRef>
              <c:f>'G&amp;R calculations'!$F$15:$F$23</c:f>
              <c:strCache>
                <c:ptCount val="8"/>
                <c:pt idx="0">
                  <c:v>AI</c:v>
                </c:pt>
                <c:pt idx="1">
                  <c:v>Cybersecurity</c:v>
                </c:pt>
                <c:pt idx="2">
                  <c:v>E-Commerce</c:v>
                </c:pt>
                <c:pt idx="3">
                  <c:v>EdTech</c:v>
                </c:pt>
                <c:pt idx="4">
                  <c:v>FinTech</c:v>
                </c:pt>
                <c:pt idx="5">
                  <c:v>Gaming</c:v>
                </c:pt>
                <c:pt idx="6">
                  <c:v>HealthTech</c:v>
                </c:pt>
                <c:pt idx="7">
                  <c:v>IoT</c:v>
                </c:pt>
              </c:strCache>
            </c:strRef>
          </c:cat>
          <c:val>
            <c:numRef>
              <c:f>'G&amp;R calculations'!$G$15:$G$23</c:f>
              <c:numCache>
                <c:formatCode>\$#,##0.00;\(\$#,##0.00\);\$#,##0.00</c:formatCode>
                <c:ptCount val="8"/>
                <c:pt idx="0">
                  <c:v>2881920000</c:v>
                </c:pt>
                <c:pt idx="1">
                  <c:v>2977400000</c:v>
                </c:pt>
                <c:pt idx="2">
                  <c:v>3589890000</c:v>
                </c:pt>
                <c:pt idx="3">
                  <c:v>3449480000</c:v>
                </c:pt>
                <c:pt idx="4">
                  <c:v>3513410000</c:v>
                </c:pt>
                <c:pt idx="5">
                  <c:v>3189840000</c:v>
                </c:pt>
                <c:pt idx="6">
                  <c:v>2520830000</c:v>
                </c:pt>
                <c:pt idx="7">
                  <c:v>2538100000</c:v>
                </c:pt>
              </c:numCache>
            </c:numRef>
          </c:val>
          <c:extLst>
            <c:ext xmlns:c16="http://schemas.microsoft.com/office/drawing/2014/chart" uri="{C3380CC4-5D6E-409C-BE32-E72D297353CC}">
              <c16:uniqueId val="{00000000-9FDA-4CC1-86C5-87137C6DF03F}"/>
            </c:ext>
          </c:extLst>
        </c:ser>
        <c:dLbls>
          <c:showLegendKey val="0"/>
          <c:showVal val="0"/>
          <c:showCatName val="0"/>
          <c:showSerName val="0"/>
          <c:showPercent val="0"/>
          <c:showBubbleSize val="0"/>
        </c:dLbls>
        <c:gapWidth val="380"/>
        <c:axId val="1406243968"/>
        <c:axId val="1406243488"/>
      </c:barChart>
      <c:lineChart>
        <c:grouping val="standard"/>
        <c:varyColors val="0"/>
        <c:ser>
          <c:idx val="1"/>
          <c:order val="1"/>
          <c:tx>
            <c:strRef>
              <c:f>'G&amp;R calculations'!$H$14</c:f>
              <c:strCache>
                <c:ptCount val="1"/>
                <c:pt idx="0">
                  <c:v>Sum of Market Share (%)</c:v>
                </c:pt>
              </c:strCache>
            </c:strRef>
          </c:tx>
          <c:spPr>
            <a:ln w="28575" cap="rnd">
              <a:solidFill>
                <a:schemeClr val="accent2"/>
              </a:solidFill>
              <a:round/>
            </a:ln>
            <a:effectLst/>
          </c:spPr>
          <c:marker>
            <c:symbol val="diamond"/>
            <c:size val="6"/>
            <c:spPr>
              <a:solidFill>
                <a:schemeClr val="accent2">
                  <a:lumMod val="75000"/>
                </a:schemeClr>
              </a:solidFill>
              <a:ln w="9525">
                <a:solidFill>
                  <a:schemeClr val="accent2"/>
                </a:solidFill>
              </a:ln>
              <a:effectLst/>
            </c:spPr>
          </c:marker>
          <c:dPt>
            <c:idx val="0"/>
            <c:marker>
              <c:symbol val="diamond"/>
              <c:size val="6"/>
              <c:spPr>
                <a:solidFill>
                  <a:schemeClr val="accent2">
                    <a:lumMod val="75000"/>
                  </a:schemeClr>
                </a:solidFill>
                <a:ln w="9525">
                  <a:solidFill>
                    <a:schemeClr val="accent2"/>
                  </a:solidFill>
                </a:ln>
                <a:effectLst/>
              </c:spPr>
            </c:marker>
            <c:bubble3D val="0"/>
            <c:extLst>
              <c:ext xmlns:c16="http://schemas.microsoft.com/office/drawing/2014/chart" uri="{C3380CC4-5D6E-409C-BE32-E72D297353CC}">
                <c16:uniqueId val="{00000001-9FDA-4CC1-86C5-87137C6DF03F}"/>
              </c:ext>
            </c:extLst>
          </c:dPt>
          <c:dPt>
            <c:idx val="1"/>
            <c:marker>
              <c:symbol val="diamond"/>
              <c:size val="6"/>
              <c:spPr>
                <a:solidFill>
                  <a:schemeClr val="accent2">
                    <a:lumMod val="75000"/>
                  </a:schemeClr>
                </a:solidFill>
                <a:ln w="9525">
                  <a:solidFill>
                    <a:schemeClr val="accent2"/>
                  </a:solidFill>
                </a:ln>
                <a:effectLst/>
              </c:spPr>
            </c:marker>
            <c:bubble3D val="0"/>
            <c:extLst>
              <c:ext xmlns:c16="http://schemas.microsoft.com/office/drawing/2014/chart" uri="{C3380CC4-5D6E-409C-BE32-E72D297353CC}">
                <c16:uniqueId val="{00000002-9FDA-4CC1-86C5-87137C6DF03F}"/>
              </c:ext>
            </c:extLst>
          </c:dPt>
          <c:dPt>
            <c:idx val="2"/>
            <c:marker>
              <c:symbol val="diamond"/>
              <c:size val="6"/>
              <c:spPr>
                <a:solidFill>
                  <a:schemeClr val="accent2">
                    <a:lumMod val="75000"/>
                  </a:schemeClr>
                </a:solidFill>
                <a:ln w="9525">
                  <a:solidFill>
                    <a:schemeClr val="accent2"/>
                  </a:solidFill>
                </a:ln>
                <a:effectLst/>
              </c:spPr>
            </c:marker>
            <c:bubble3D val="0"/>
            <c:extLst>
              <c:ext xmlns:c16="http://schemas.microsoft.com/office/drawing/2014/chart" uri="{C3380CC4-5D6E-409C-BE32-E72D297353CC}">
                <c16:uniqueId val="{00000003-9FDA-4CC1-86C5-87137C6DF03F}"/>
              </c:ext>
            </c:extLst>
          </c:dPt>
          <c:dPt>
            <c:idx val="3"/>
            <c:marker>
              <c:symbol val="diamond"/>
              <c:size val="6"/>
              <c:spPr>
                <a:solidFill>
                  <a:schemeClr val="accent2">
                    <a:lumMod val="75000"/>
                  </a:schemeClr>
                </a:solidFill>
                <a:ln w="9525">
                  <a:solidFill>
                    <a:schemeClr val="accent2"/>
                  </a:solidFill>
                </a:ln>
                <a:effectLst/>
              </c:spPr>
            </c:marker>
            <c:bubble3D val="0"/>
            <c:extLst>
              <c:ext xmlns:c16="http://schemas.microsoft.com/office/drawing/2014/chart" uri="{C3380CC4-5D6E-409C-BE32-E72D297353CC}">
                <c16:uniqueId val="{00000004-9FDA-4CC1-86C5-87137C6DF03F}"/>
              </c:ext>
            </c:extLst>
          </c:dPt>
          <c:dPt>
            <c:idx val="5"/>
            <c:marker>
              <c:symbol val="diamond"/>
              <c:size val="6"/>
              <c:spPr>
                <a:solidFill>
                  <a:schemeClr val="accent2">
                    <a:lumMod val="75000"/>
                  </a:schemeClr>
                </a:solidFill>
                <a:ln w="9525">
                  <a:solidFill>
                    <a:schemeClr val="accent2"/>
                  </a:solidFill>
                </a:ln>
                <a:effectLst/>
              </c:spPr>
            </c:marker>
            <c:bubble3D val="0"/>
            <c:extLst>
              <c:ext xmlns:c16="http://schemas.microsoft.com/office/drawing/2014/chart" uri="{C3380CC4-5D6E-409C-BE32-E72D297353CC}">
                <c16:uniqueId val="{00000005-9FDA-4CC1-86C5-87137C6DF03F}"/>
              </c:ext>
            </c:extLst>
          </c:dPt>
          <c:dPt>
            <c:idx val="6"/>
            <c:marker>
              <c:symbol val="diamond"/>
              <c:size val="6"/>
              <c:spPr>
                <a:solidFill>
                  <a:schemeClr val="accent2">
                    <a:lumMod val="75000"/>
                  </a:schemeClr>
                </a:solidFill>
                <a:ln w="9525">
                  <a:solidFill>
                    <a:schemeClr val="accent2"/>
                  </a:solidFill>
                </a:ln>
                <a:effectLst/>
              </c:spPr>
            </c:marker>
            <c:bubble3D val="0"/>
            <c:extLst>
              <c:ext xmlns:c16="http://schemas.microsoft.com/office/drawing/2014/chart" uri="{C3380CC4-5D6E-409C-BE32-E72D297353CC}">
                <c16:uniqueId val="{00000006-9FDA-4CC1-86C5-87137C6DF03F}"/>
              </c:ext>
            </c:extLst>
          </c:dPt>
          <c:dPt>
            <c:idx val="7"/>
            <c:marker>
              <c:symbol val="diamond"/>
              <c:size val="6"/>
              <c:spPr>
                <a:solidFill>
                  <a:schemeClr val="accent2">
                    <a:lumMod val="75000"/>
                  </a:schemeClr>
                </a:solidFill>
                <a:ln w="9525">
                  <a:solidFill>
                    <a:schemeClr val="accent2"/>
                  </a:solidFill>
                </a:ln>
                <a:effectLst/>
              </c:spPr>
            </c:marker>
            <c:bubble3D val="0"/>
            <c:extLst>
              <c:ext xmlns:c16="http://schemas.microsoft.com/office/drawing/2014/chart" uri="{C3380CC4-5D6E-409C-BE32-E72D297353CC}">
                <c16:uniqueId val="{00000007-9FDA-4CC1-86C5-87137C6DF03F}"/>
              </c:ext>
            </c:extLst>
          </c:dPt>
          <c:dLbls>
            <c:dLbl>
              <c:idx val="0"/>
              <c:layout>
                <c:manualLayout>
                  <c:x val="-7.8277886497064575E-3"/>
                  <c:y val="7.441859253802234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FDA-4CC1-86C5-87137C6DF03F}"/>
                </c:ext>
              </c:extLst>
            </c:dLbl>
            <c:dLbl>
              <c:idx val="1"/>
              <c:layout>
                <c:manualLayout>
                  <c:x val="-7.8277886497064575E-3"/>
                  <c:y val="4.54780287732358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FDA-4CC1-86C5-87137C6DF03F}"/>
                </c:ext>
              </c:extLst>
            </c:dLbl>
            <c:dLbl>
              <c:idx val="2"/>
              <c:layout>
                <c:manualLayout>
                  <c:x val="-5.2185257664709717E-3"/>
                  <c:y val="6.201549378168524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FDA-4CC1-86C5-87137C6DF03F}"/>
                </c:ext>
              </c:extLst>
            </c:dLbl>
            <c:dLbl>
              <c:idx val="3"/>
              <c:layout>
                <c:manualLayout>
                  <c:x val="-7.8277886497064575E-3"/>
                  <c:y val="6.20154937816852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FDA-4CC1-86C5-87137C6DF03F}"/>
                </c:ext>
              </c:extLst>
            </c:dLbl>
            <c:dLbl>
              <c:idx val="5"/>
              <c:layout>
                <c:manualLayout>
                  <c:x val="-9.5671867175727539E-17"/>
                  <c:y val="-8.2687325042247045E-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FDA-4CC1-86C5-87137C6DF03F}"/>
                </c:ext>
              </c:extLst>
            </c:dLbl>
            <c:dLbl>
              <c:idx val="6"/>
              <c:layout>
                <c:manualLayout>
                  <c:x val="-9.5671867175727539E-17"/>
                  <c:y val="2.48061975126740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FDA-4CC1-86C5-87137C6DF03F}"/>
                </c:ext>
              </c:extLst>
            </c:dLbl>
            <c:dLbl>
              <c:idx val="7"/>
              <c:layout>
                <c:manualLayout>
                  <c:x val="-7.8277886497063621E-3"/>
                  <c:y val="-3.7897919511029747E-1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FDA-4CC1-86C5-87137C6DF03F}"/>
                </c:ext>
              </c:extLst>
            </c:dLbl>
            <c:numFmt formatCode="0.00&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'G&amp;R calculations'!$F$15:$F$23</c:f>
              <c:strCache>
                <c:ptCount val="8"/>
                <c:pt idx="0">
                  <c:v>AI</c:v>
                </c:pt>
                <c:pt idx="1">
                  <c:v>Cybersecurity</c:v>
                </c:pt>
                <c:pt idx="2">
                  <c:v>E-Commerce</c:v>
                </c:pt>
                <c:pt idx="3">
                  <c:v>EdTech</c:v>
                </c:pt>
                <c:pt idx="4">
                  <c:v>FinTech</c:v>
                </c:pt>
                <c:pt idx="5">
                  <c:v>Gaming</c:v>
                </c:pt>
                <c:pt idx="6">
                  <c:v>HealthTech</c:v>
                </c:pt>
                <c:pt idx="7">
                  <c:v>IoT</c:v>
                </c:pt>
              </c:strCache>
            </c:strRef>
          </c:cat>
          <c:val>
            <c:numRef>
              <c:f>'G&amp;R calculations'!$H$15:$H$23</c:f>
              <c:numCache>
                <c:formatCode>General</c:formatCode>
                <c:ptCount val="8"/>
                <c:pt idx="0">
                  <c:v>2.9908000000000001</c:v>
                </c:pt>
                <c:pt idx="1">
                  <c:v>2.7233000000000001</c:v>
                </c:pt>
                <c:pt idx="2">
                  <c:v>3.5453000000000001</c:v>
                </c:pt>
                <c:pt idx="3">
                  <c:v>3.6231</c:v>
                </c:pt>
                <c:pt idx="4">
                  <c:v>3.5678999999999998</c:v>
                </c:pt>
                <c:pt idx="5">
                  <c:v>3.1715</c:v>
                </c:pt>
                <c:pt idx="6">
                  <c:v>2.4864000000000002</c:v>
                </c:pt>
                <c:pt idx="7">
                  <c:v>3.3563999999999998</c:v>
                </c:pt>
              </c:numCache>
            </c:numRef>
          </c:val>
          <c:smooth val="0"/>
          <c:extLst>
            <c:ext xmlns:c16="http://schemas.microsoft.com/office/drawing/2014/chart" uri="{C3380CC4-5D6E-409C-BE32-E72D297353CC}">
              <c16:uniqueId val="{00000008-9FDA-4CC1-86C5-87137C6DF03F}"/>
            </c:ext>
          </c:extLst>
        </c:ser>
        <c:dLbls>
          <c:showLegendKey val="0"/>
          <c:showVal val="0"/>
          <c:showCatName val="0"/>
          <c:showSerName val="0"/>
          <c:showPercent val="0"/>
          <c:showBubbleSize val="0"/>
        </c:dLbls>
        <c:marker val="1"/>
        <c:smooth val="0"/>
        <c:axId val="136468639"/>
        <c:axId val="1824889520"/>
      </c:lineChart>
      <c:catAx>
        <c:axId val="1406243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406243488"/>
        <c:crosses val="autoZero"/>
        <c:auto val="1"/>
        <c:lblAlgn val="ctr"/>
        <c:lblOffset val="100"/>
        <c:noMultiLvlLbl val="0"/>
      </c:catAx>
      <c:valAx>
        <c:axId val="14062434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t>Revenue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quot;B&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243968"/>
        <c:crosses val="autoZero"/>
        <c:crossBetween val="between"/>
      </c:valAx>
      <c:valAx>
        <c:axId val="1824889520"/>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t>Market Share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68639"/>
        <c:crosses val="max"/>
        <c:crossBetween val="between"/>
      </c:valAx>
      <c:catAx>
        <c:axId val="136468639"/>
        <c:scaling>
          <c:orientation val="minMax"/>
        </c:scaling>
        <c:delete val="1"/>
        <c:axPos val="b"/>
        <c:numFmt formatCode="General" sourceLinked="1"/>
        <c:majorTickMark val="out"/>
        <c:minorTickMark val="none"/>
        <c:tickLblPos val="nextTo"/>
        <c:crossAx val="1824889520"/>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[Analysis_Workbook.xlsm]PA calculations!PivotTable1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a:solidFill>
                  <a:schemeClr val="accent2"/>
                </a:solidFill>
              </a:rPr>
              <a:t>Profitibility</a:t>
            </a:r>
            <a:r>
              <a:rPr lang="en-US" sz="1600" baseline="0">
                <a:solidFill>
                  <a:schemeClr val="accent2"/>
                </a:solidFill>
              </a:rPr>
              <a:t> of Startups in different Industries</a:t>
            </a:r>
            <a:endParaRPr lang="en-US" sz="1600">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'PA calculations'!$B$1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 calculations'!$A$2:$A$10</c:f>
              <c:strCache>
                <c:ptCount val="8"/>
                <c:pt idx="0">
                  <c:v>AI</c:v>
                </c:pt>
                <c:pt idx="1">
                  <c:v>Cybersecurity</c:v>
                </c:pt>
                <c:pt idx="2">
                  <c:v>E-Commerce</c:v>
                </c:pt>
                <c:pt idx="3">
                  <c:v>EdTech</c:v>
                </c:pt>
                <c:pt idx="4">
                  <c:v>FinTech</c:v>
                </c:pt>
                <c:pt idx="5">
                  <c:v>Gaming</c:v>
                </c:pt>
                <c:pt idx="6">
                  <c:v>HealthTech</c:v>
                </c:pt>
                <c:pt idx="7">
                  <c:v>IoT</c:v>
                </c:pt>
              </c:strCache>
            </c:strRef>
          </c:cat>
          <c:val>
            <c:numRef>
              <c:f>'PA calculations'!$B$2:$B$10</c:f>
              <c:numCache>
                <c:formatCode>0%</c:formatCode>
                <c:ptCount val="8"/>
                <c:pt idx="0">
                  <c:v>0.46774193548387094</c:v>
                </c:pt>
                <c:pt idx="1">
                  <c:v>0.31372549019607843</c:v>
                </c:pt>
                <c:pt idx="2">
                  <c:v>0.54285714285714282</c:v>
                </c:pt>
                <c:pt idx="3">
                  <c:v>0.45945945945945948</c:v>
                </c:pt>
                <c:pt idx="4">
                  <c:v>0.3380281690140845</c:v>
                </c:pt>
                <c:pt idx="5">
                  <c:v>0.33870967741935482</c:v>
                </c:pt>
                <c:pt idx="6">
                  <c:v>0.44897959183673469</c:v>
                </c:pt>
                <c:pt idx="7">
                  <c:v>0.52459016393442626</c:v>
                </c:pt>
              </c:numCache>
            </c:numRef>
          </c:val>
          <c:extLst>
            <c:ext xmlns:c16="http://schemas.microsoft.com/office/drawing/2014/chart" uri="{C3380CC4-5D6E-409C-BE32-E72D297353CC}">
              <c16:uniqueId val="{00000000-110B-4735-A7E6-DCA36A7939F8}"/>
            </c:ext>
          </c:extLst>
        </c:ser>
        <c:dLbls>
          <c:dLblPos val="outEnd"/>
          <c:showLegendKey val="0"/>
          <c:showVal val="1"/>
          <c:showCatName val="0"/>
          <c:showSerName val="0"/>
          <c:showPercent val="0"/>
          <c:showBubbleSize val="0"/>
        </c:dLbls>
        <c:gapWidth val="219"/>
        <c:overlap val="-27"/>
        <c:axId val="564391935"/>
        <c:axId val="564392895"/>
      </c:barChart>
      <c:catAx>
        <c:axId val="56439193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t>Industry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64392895"/>
        <c:crosses val="autoZero"/>
        <c:auto val="1"/>
        <c:lblAlgn val="ctr"/>
        <c:lblOffset val="100"/>
        <c:noMultiLvlLbl val="0"/>
      </c:catAx>
      <c:valAx>
        <c:axId val="564392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t>Percentage</a:t>
                </a:r>
                <a:r>
                  <a:rPr lang="en-US" sz="1400" baseline="0"/>
                  <a:t> of Profitibility</a:t>
                </a:r>
                <a:endParaRPr lang="en-US" sz="1400"/>
              </a:p>
            </c:rich>
          </c:tx>
          <c:layout>
            <c:manualLayout>
              <c:xMode val="edge"/>
              <c:yMode val="edge"/>
              <c:x val="2.4645717806531114E-2"/>
              <c:y val="0.126454243716797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64391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[Analysis_Workbook.xlsm]PA calculations!PivotTable2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a:solidFill>
                  <a:schemeClr val="accent2"/>
                </a:solidFill>
              </a:rPr>
              <a:t>Average</a:t>
            </a:r>
            <a:r>
              <a:rPr lang="en-US" sz="1600" baseline="0">
                <a:solidFill>
                  <a:schemeClr val="accent2"/>
                </a:solidFill>
              </a:rPr>
              <a:t> Funding of Profitable vs Non Profitable startups</a:t>
            </a:r>
            <a:endParaRPr lang="en-US" sz="1600">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pivotFmt>
      <c:pivotFmt>
        <c:idx val="3"/>
        <c:spPr>
          <a:solidFill>
            <a:schemeClr val="accent2"/>
          </a:solidFill>
          <a:ln>
            <a:noFill/>
          </a:ln>
          <a:effectLst/>
        </c:spPr>
        <c:dLbl>
          <c:idx val="0"/>
          <c:layout>
            <c:manualLayout>
              <c:x val="8.7064676616915426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dLbl>
          <c:idx val="0"/>
          <c:layout>
            <c:manualLayout>
              <c:x val="1.1194029850746223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dLbl>
          <c:idx val="0"/>
          <c:layout>
            <c:manualLayout>
              <c:x val="9.9502487562189053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dLbl>
          <c:idx val="0"/>
          <c:layout>
            <c:manualLayout>
              <c:x val="1.1194029850746268E-2"/>
              <c:y val="-6.8953902521215678E-17"/>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dLbl>
          <c:idx val="0"/>
          <c:layout>
            <c:manualLayout>
              <c:x val="1.1194029850746268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dLbl>
          <c:idx val="0"/>
          <c:layout>
            <c:manualLayout>
              <c:x val="1.119402985074636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dLbl>
          <c:idx val="0"/>
          <c:layout>
            <c:manualLayout>
              <c:x val="8.7064676616915426E-3"/>
              <c:y val="-6.8953902521215678E-17"/>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8.7064676616915426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9.9502487562189053E-3"/>
              <c:y val="-3.7611654045044546E-3"/>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layout>
            <c:manualLayout>
              <c:x val="-8.7064676616915426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layout>
            <c:manualLayout>
              <c:x val="-1.1194029850746268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dLbl>
          <c:idx val="0"/>
          <c:layout>
            <c:manualLayout>
              <c:x val="-9.9502487562189972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dLbl>
          <c:idx val="0"/>
          <c:layout>
            <c:manualLayout>
              <c:x val="-1.1194029850746268E-2"/>
              <c:y val="-3.7611654045044546E-3"/>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dLbl>
          <c:idx val="0"/>
          <c:layout>
            <c:manualLayout>
              <c:x val="-1.1194029850746178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dLbl>
          <c:idx val="0"/>
          <c:layout>
            <c:manualLayout>
              <c:x val="-1.119402985074628E-2"/>
              <c:y val="-6.8953902521215678E-17"/>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dLbl>
          <c:idx val="0"/>
          <c:layout>
            <c:manualLayout>
              <c:x val="-1.119402985074628E-2"/>
              <c:y val="-6.8953902521215678E-17"/>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dLbl>
          <c:idx val="0"/>
          <c:layout>
            <c:manualLayout>
              <c:x val="-8.7064676616915426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dLbl>
          <c:idx val="0"/>
          <c:layout>
            <c:manualLayout>
              <c:x val="-9.9502487562189053E-3"/>
              <c:y val="-3.7611654045044546E-3"/>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dLbl>
          <c:idx val="0"/>
          <c:layout>
            <c:manualLayout>
              <c:x val="-8.7064676616915426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dLbl>
          <c:idx val="0"/>
          <c:layout>
            <c:manualLayout>
              <c:x val="-1.1194029850746268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dLbl>
          <c:idx val="0"/>
          <c:layout>
            <c:manualLayout>
              <c:x val="-9.9502487562189972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dLbl>
          <c:idx val="0"/>
          <c:layout>
            <c:manualLayout>
              <c:x val="-1.1194029850746268E-2"/>
              <c:y val="-3.7611654045044546E-3"/>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dLbl>
          <c:idx val="0"/>
          <c:layout>
            <c:manualLayout>
              <c:x val="-1.1194029850746178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dLbl>
          <c:idx val="0"/>
          <c:layout>
            <c:manualLayout>
              <c:x val="8.7064676616915426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dLbl>
          <c:idx val="0"/>
          <c:layout>
            <c:manualLayout>
              <c:x val="1.1194029850746223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dLbl>
          <c:idx val="0"/>
          <c:layout>
            <c:manualLayout>
              <c:x val="9.9502487562189053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dLbl>
          <c:idx val="0"/>
          <c:layout>
            <c:manualLayout>
              <c:x val="1.1194029850746268E-2"/>
              <c:y val="-6.8953902521215678E-17"/>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dLbl>
          <c:idx val="0"/>
          <c:layout>
            <c:manualLayout>
              <c:x val="1.1194029850746268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dLbl>
          <c:idx val="0"/>
          <c:layout>
            <c:manualLayout>
              <c:x val="1.119402985074636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dLbl>
          <c:idx val="0"/>
          <c:layout>
            <c:manualLayout>
              <c:x val="8.7064676616915426E-3"/>
              <c:y val="-6.8953902521215678E-17"/>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dLbl>
          <c:idx val="0"/>
          <c:layout>
            <c:manualLayout>
              <c:x val="-1.119402985074628E-2"/>
              <c:y val="-6.8953902521215678E-17"/>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dLbl>
          <c:idx val="0"/>
          <c:layout>
            <c:manualLayout>
              <c:x val="-8.7064676616915426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dLbl>
          <c:idx val="0"/>
          <c:layout>
            <c:manualLayout>
              <c:x val="-9.9502487562189053E-3"/>
              <c:y val="-3.7611654045044546E-3"/>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dLbl>
          <c:idx val="0"/>
          <c:layout>
            <c:manualLayout>
              <c:x val="-8.7064676616915426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dLbl>
          <c:idx val="0"/>
          <c:layout>
            <c:manualLayout>
              <c:x val="-1.1194029850746268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dLbl>
          <c:idx val="0"/>
          <c:layout>
            <c:manualLayout>
              <c:x val="-9.9502487562189972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dLbl>
          <c:idx val="0"/>
          <c:layout>
            <c:manualLayout>
              <c:x val="-1.1194029850746268E-2"/>
              <c:y val="-3.7611654045044546E-3"/>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dLbl>
          <c:idx val="0"/>
          <c:layout>
            <c:manualLayout>
              <c:x val="-1.1194029850746178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dLbl>
          <c:idx val="0"/>
          <c:layout>
            <c:manualLayout>
              <c:x val="8.7064676616915426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dLbl>
          <c:idx val="0"/>
          <c:layout>
            <c:manualLayout>
              <c:x val="1.1194029850746223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dLbl>
          <c:idx val="0"/>
          <c:layout>
            <c:manualLayout>
              <c:x val="9.9502487562189053E-3"/>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dLbl>
          <c:idx val="0"/>
          <c:layout>
            <c:manualLayout>
              <c:x val="1.1194029850746268E-2"/>
              <c:y val="-6.8953902521215678E-17"/>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dLbl>
          <c:idx val="0"/>
          <c:layout>
            <c:manualLayout>
              <c:x val="1.1194029850746268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dLbl>
          <c:idx val="0"/>
          <c:layout>
            <c:manualLayout>
              <c:x val="1.119402985074636E-2"/>
              <c:y val="0"/>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dLbl>
          <c:idx val="0"/>
          <c:layout>
            <c:manualLayout>
              <c:x val="8.7064676616915426E-3"/>
              <c:y val="-6.8953902521215678E-17"/>
            </c:manualLayout>
          </c:layout>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'PA calculations'!$E$1:$E$2</c:f>
              <c:strCache>
                <c:ptCount val="1"/>
                <c:pt idx="0">
                  <c:v>Non Profitable</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BB37-4C67-B9E8-55EEEB34204A}"/>
              </c:ext>
            </c:extLst>
          </c:dPt>
          <c:dPt>
            <c:idx val="1"/>
            <c:invertIfNegative val="0"/>
            <c:bubble3D val="0"/>
            <c:extLst>
              <c:ext xmlns:c16="http://schemas.microsoft.com/office/drawing/2014/chart" uri="{C3380CC4-5D6E-409C-BE32-E72D297353CC}">
                <c16:uniqueId val="{00000001-BB37-4C67-B9E8-55EEEB34204A}"/>
              </c:ext>
            </c:extLst>
          </c:dPt>
          <c:dPt>
            <c:idx val="2"/>
            <c:invertIfNegative val="0"/>
            <c:bubble3D val="0"/>
            <c:extLst>
              <c:ext xmlns:c16="http://schemas.microsoft.com/office/drawing/2014/chart" uri="{C3380CC4-5D6E-409C-BE32-E72D297353CC}">
                <c16:uniqueId val="{00000002-BB37-4C67-B9E8-55EEEB34204A}"/>
              </c:ext>
            </c:extLst>
          </c:dPt>
          <c:dPt>
            <c:idx val="3"/>
            <c:invertIfNegative val="0"/>
            <c:bubble3D val="0"/>
            <c:extLst>
              <c:ext xmlns:c16="http://schemas.microsoft.com/office/drawing/2014/chart" uri="{C3380CC4-5D6E-409C-BE32-E72D297353CC}">
                <c16:uniqueId val="{00000003-BB37-4C67-B9E8-55EEEB34204A}"/>
              </c:ext>
            </c:extLst>
          </c:dPt>
          <c:dPt>
            <c:idx val="4"/>
            <c:invertIfNegative val="0"/>
            <c:bubble3D val="0"/>
            <c:extLst>
              <c:ext xmlns:c16="http://schemas.microsoft.com/office/drawing/2014/chart" uri="{C3380CC4-5D6E-409C-BE32-E72D297353CC}">
                <c16:uniqueId val="{00000004-BB37-4C67-B9E8-55EEEB34204A}"/>
              </c:ext>
            </c:extLst>
          </c:dPt>
          <c:dPt>
            <c:idx val="5"/>
            <c:invertIfNegative val="0"/>
            <c:bubble3D val="0"/>
            <c:extLst>
              <c:ext xmlns:c16="http://schemas.microsoft.com/office/drawing/2014/chart" uri="{C3380CC4-5D6E-409C-BE32-E72D297353CC}">
                <c16:uniqueId val="{00000005-BB37-4C67-B9E8-55EEEB34204A}"/>
              </c:ext>
            </c:extLst>
          </c:dPt>
          <c:dPt>
            <c:idx val="6"/>
            <c:invertIfNegative val="0"/>
            <c:bubble3D val="0"/>
            <c:extLst>
              <c:ext xmlns:c16="http://schemas.microsoft.com/office/drawing/2014/chart" uri="{C3380CC4-5D6E-409C-BE32-E72D297353CC}">
                <c16:uniqueId val="{00000006-BB37-4C67-B9E8-55EEEB34204A}"/>
              </c:ext>
            </c:extLst>
          </c:dPt>
          <c:dPt>
            <c:idx val="7"/>
            <c:invertIfNegative val="0"/>
            <c:bubble3D val="0"/>
            <c:extLst>
              <c:ext xmlns:c16="http://schemas.microsoft.com/office/drawing/2014/chart" uri="{C3380CC4-5D6E-409C-BE32-E72D297353CC}">
                <c16:uniqueId val="{00000007-BB37-4C67-B9E8-55EEEB34204A}"/>
              </c:ext>
            </c:extLst>
          </c:dPt>
          <c:dLbls>
            <c:dLbl>
              <c:idx val="0"/>
              <c:layout>
                <c:manualLayout>
                  <c:x val="-1.119402985074628E-2"/>
                  <c:y val="-6.895390252121567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B37-4C67-B9E8-55EEEB34204A}"/>
                </c:ext>
              </c:extLst>
            </c:dLbl>
            <c:dLbl>
              <c:idx val="1"/>
              <c:layout>
                <c:manualLayout>
                  <c:x val="-8.7064676616915426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B37-4C67-B9E8-55EEEB34204A}"/>
                </c:ext>
              </c:extLst>
            </c:dLbl>
            <c:dLbl>
              <c:idx val="2"/>
              <c:layout>
                <c:manualLayout>
                  <c:x val="-9.9502487562189053E-3"/>
                  <c:y val="-3.761165404504454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B37-4C67-B9E8-55EEEB34204A}"/>
                </c:ext>
              </c:extLst>
            </c:dLbl>
            <c:dLbl>
              <c:idx val="3"/>
              <c:layout>
                <c:manualLayout>
                  <c:x val="-8.7064676616915426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B37-4C67-B9E8-55EEEB34204A}"/>
                </c:ext>
              </c:extLst>
            </c:dLbl>
            <c:dLbl>
              <c:idx val="4"/>
              <c:layout>
                <c:manualLayout>
                  <c:x val="-1.1194029850746268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B37-4C67-B9E8-55EEEB34204A}"/>
                </c:ext>
              </c:extLst>
            </c:dLbl>
            <c:dLbl>
              <c:idx val="5"/>
              <c:layout>
                <c:manualLayout>
                  <c:x val="-9.9502487562189972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B37-4C67-B9E8-55EEEB34204A}"/>
                </c:ext>
              </c:extLst>
            </c:dLbl>
            <c:dLbl>
              <c:idx val="6"/>
              <c:layout>
                <c:manualLayout>
                  <c:x val="-1.1194029850746268E-2"/>
                  <c:y val="-3.761165404504454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B37-4C67-B9E8-55EEEB34204A}"/>
                </c:ext>
              </c:extLst>
            </c:dLbl>
            <c:dLbl>
              <c:idx val="7"/>
              <c:layout>
                <c:manualLayout>
                  <c:x val="-1.1194029850746178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B37-4C67-B9E8-55EEEB34204A}"/>
                </c:ext>
              </c:extLst>
            </c:dLbl>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 calculations'!$D$3:$D$11</c:f>
              <c:strCache>
                <c:ptCount val="8"/>
                <c:pt idx="0">
                  <c:v>AI</c:v>
                </c:pt>
                <c:pt idx="1">
                  <c:v>Cybersecurity</c:v>
                </c:pt>
                <c:pt idx="2">
                  <c:v>E-Commerce</c:v>
                </c:pt>
                <c:pt idx="3">
                  <c:v>EdTech</c:v>
                </c:pt>
                <c:pt idx="4">
                  <c:v>FinTech</c:v>
                </c:pt>
                <c:pt idx="5">
                  <c:v>Gaming</c:v>
                </c:pt>
                <c:pt idx="6">
                  <c:v>HealthTech</c:v>
                </c:pt>
                <c:pt idx="7">
                  <c:v>IoT</c:v>
                </c:pt>
              </c:strCache>
            </c:strRef>
          </c:cat>
          <c:val>
            <c:numRef>
              <c:f>'PA calculations'!$E$3:$E$11</c:f>
              <c:numCache>
                <c:formatCode>\$#,##0.00;\(\$#,##0.00\);\$#,##0.00</c:formatCode>
                <c:ptCount val="8"/>
                <c:pt idx="0">
                  <c:v>143529393.93939394</c:v>
                </c:pt>
                <c:pt idx="1">
                  <c:v>155436000</c:v>
                </c:pt>
                <c:pt idx="2">
                  <c:v>143794687.5</c:v>
                </c:pt>
                <c:pt idx="3">
                  <c:v>161038250</c:v>
                </c:pt>
                <c:pt idx="4">
                  <c:v>165623617.02127659</c:v>
                </c:pt>
                <c:pt idx="5">
                  <c:v>163752439.02439025</c:v>
                </c:pt>
                <c:pt idx="6">
                  <c:v>131995555.55555555</c:v>
                </c:pt>
                <c:pt idx="7">
                  <c:v>136896551.72413793</c:v>
                </c:pt>
              </c:numCache>
            </c:numRef>
          </c:val>
          <c:extLst>
            <c:ext xmlns:c16="http://schemas.microsoft.com/office/drawing/2014/chart" uri="{C3380CC4-5D6E-409C-BE32-E72D297353CC}">
              <c16:uniqueId val="{00000008-BB37-4C67-B9E8-55EEEB34204A}"/>
            </c:ext>
          </c:extLst>
        </c:ser>
        <c:ser>
          <c:idx val="1"/>
          <c:order val="1"/>
          <c:tx>
            <c:strRef>
              <c:f>'PA calculations'!$F$1:$F$2</c:f>
              <c:strCache>
                <c:ptCount val="1"/>
                <c:pt idx="0">
                  <c:v>Profitable</c:v>
                </c:pt>
              </c:strCache>
            </c:strRef>
          </c:tx>
          <c:spPr>
            <a:solidFill>
              <a:schemeClr val="accent2"/>
            </a:solidFill>
            <a:ln>
              <a:noFill/>
            </a:ln>
            <a:effectLst/>
          </c:spPr>
          <c:invertIfNegative val="0"/>
          <c:dPt>
            <c:idx val="1"/>
            <c:invertIfNegative val="0"/>
            <c:bubble3D val="0"/>
            <c:extLst>
              <c:ext xmlns:c16="http://schemas.microsoft.com/office/drawing/2014/chart" uri="{C3380CC4-5D6E-409C-BE32-E72D297353CC}">
                <c16:uniqueId val="{00000009-BB37-4C67-B9E8-55EEEB34204A}"/>
              </c:ext>
            </c:extLst>
          </c:dPt>
          <c:dPt>
            <c:idx val="2"/>
            <c:invertIfNegative val="0"/>
            <c:bubble3D val="0"/>
            <c:extLst>
              <c:ext xmlns:c16="http://schemas.microsoft.com/office/drawing/2014/chart" uri="{C3380CC4-5D6E-409C-BE32-E72D297353CC}">
                <c16:uniqueId val="{0000000A-BB37-4C67-B9E8-55EEEB34204A}"/>
              </c:ext>
            </c:extLst>
          </c:dPt>
          <c:dPt>
            <c:idx val="3"/>
            <c:invertIfNegative val="0"/>
            <c:bubble3D val="0"/>
            <c:extLst>
              <c:ext xmlns:c16="http://schemas.microsoft.com/office/drawing/2014/chart" uri="{C3380CC4-5D6E-409C-BE32-E72D297353CC}">
                <c16:uniqueId val="{0000000B-BB37-4C67-B9E8-55EEEB34204A}"/>
              </c:ext>
            </c:extLst>
          </c:dPt>
          <c:dPt>
            <c:idx val="4"/>
            <c:invertIfNegative val="0"/>
            <c:bubble3D val="0"/>
            <c:extLst>
              <c:ext xmlns:c16="http://schemas.microsoft.com/office/drawing/2014/chart" uri="{C3380CC4-5D6E-409C-BE32-E72D297353CC}">
                <c16:uniqueId val="{0000000C-BB37-4C67-B9E8-55EEEB34204A}"/>
              </c:ext>
            </c:extLst>
          </c:dPt>
          <c:dPt>
            <c:idx val="5"/>
            <c:invertIfNegative val="0"/>
            <c:bubble3D val="0"/>
            <c:extLst>
              <c:ext xmlns:c16="http://schemas.microsoft.com/office/drawing/2014/chart" uri="{C3380CC4-5D6E-409C-BE32-E72D297353CC}">
                <c16:uniqueId val="{0000000D-BB37-4C67-B9E8-55EEEB34204A}"/>
              </c:ext>
            </c:extLst>
          </c:dPt>
          <c:dPt>
            <c:idx val="6"/>
            <c:invertIfNegative val="0"/>
            <c:bubble3D val="0"/>
            <c:extLst>
              <c:ext xmlns:c16="http://schemas.microsoft.com/office/drawing/2014/chart" uri="{C3380CC4-5D6E-409C-BE32-E72D297353CC}">
                <c16:uniqueId val="{0000000E-BB37-4C67-B9E8-55EEEB34204A}"/>
              </c:ext>
            </c:extLst>
          </c:dPt>
          <c:dPt>
            <c:idx val="7"/>
            <c:invertIfNegative val="0"/>
            <c:bubble3D val="0"/>
            <c:extLst>
              <c:ext xmlns:c16="http://schemas.microsoft.com/office/drawing/2014/chart" uri="{C3380CC4-5D6E-409C-BE32-E72D297353CC}">
                <c16:uniqueId val="{0000000F-BB37-4C67-B9E8-55EEEB34204A}"/>
              </c:ext>
            </c:extLst>
          </c:dPt>
          <c:dLbls>
            <c:dLbl>
              <c:idx val="1"/>
              <c:layout>
                <c:manualLayout>
                  <c:x val="8.7064676616915426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B37-4C67-B9E8-55EEEB34204A}"/>
                </c:ext>
              </c:extLst>
            </c:dLbl>
            <c:dLbl>
              <c:idx val="2"/>
              <c:layout>
                <c:manualLayout>
                  <c:x val="1.1194029850746223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B37-4C67-B9E8-55EEEB34204A}"/>
                </c:ext>
              </c:extLst>
            </c:dLbl>
            <c:dLbl>
              <c:idx val="3"/>
              <c:layout>
                <c:manualLayout>
                  <c:x val="9.9502487562189053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B37-4C67-B9E8-55EEEB34204A}"/>
                </c:ext>
              </c:extLst>
            </c:dLbl>
            <c:dLbl>
              <c:idx val="4"/>
              <c:layout>
                <c:manualLayout>
                  <c:x val="1.1194029850746268E-2"/>
                  <c:y val="-6.895390252121567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BB37-4C67-B9E8-55EEEB34204A}"/>
                </c:ext>
              </c:extLst>
            </c:dLbl>
            <c:dLbl>
              <c:idx val="5"/>
              <c:layout>
                <c:manualLayout>
                  <c:x val="1.1194029850746268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BB37-4C67-B9E8-55EEEB34204A}"/>
                </c:ext>
              </c:extLst>
            </c:dLbl>
            <c:dLbl>
              <c:idx val="6"/>
              <c:layout>
                <c:manualLayout>
                  <c:x val="1.119402985074636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BB37-4C67-B9E8-55EEEB34204A}"/>
                </c:ext>
              </c:extLst>
            </c:dLbl>
            <c:dLbl>
              <c:idx val="7"/>
              <c:layout>
                <c:manualLayout>
                  <c:x val="8.7064676616915426E-3"/>
                  <c:y val="-6.895390252121567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BB37-4C67-B9E8-55EEEB34204A}"/>
                </c:ext>
              </c:extLst>
            </c:dLbl>
            <c:numFmt formatCode="&quot;$&quot;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 calculations'!$D$3:$D$11</c:f>
              <c:strCache>
                <c:ptCount val="8"/>
                <c:pt idx="0">
                  <c:v>AI</c:v>
                </c:pt>
                <c:pt idx="1">
                  <c:v>Cybersecurity</c:v>
                </c:pt>
                <c:pt idx="2">
                  <c:v>E-Commerce</c:v>
                </c:pt>
                <c:pt idx="3">
                  <c:v>EdTech</c:v>
                </c:pt>
                <c:pt idx="4">
                  <c:v>FinTech</c:v>
                </c:pt>
                <c:pt idx="5">
                  <c:v>Gaming</c:v>
                </c:pt>
                <c:pt idx="6">
                  <c:v>HealthTech</c:v>
                </c:pt>
                <c:pt idx="7">
                  <c:v>IoT</c:v>
                </c:pt>
              </c:strCache>
            </c:strRef>
          </c:cat>
          <c:val>
            <c:numRef>
              <c:f>'PA calculations'!$F$3:$F$11</c:f>
              <c:numCache>
                <c:formatCode>\$#,##0.00;\(\$#,##0.00\);\$#,##0.00</c:formatCode>
                <c:ptCount val="8"/>
                <c:pt idx="0">
                  <c:v>132433793.10344827</c:v>
                </c:pt>
                <c:pt idx="1">
                  <c:v>158253125</c:v>
                </c:pt>
                <c:pt idx="2">
                  <c:v>182181052.63157895</c:v>
                </c:pt>
                <c:pt idx="3">
                  <c:v>140311764.70588234</c:v>
                </c:pt>
                <c:pt idx="4">
                  <c:v>160921666.66666666</c:v>
                </c:pt>
                <c:pt idx="5">
                  <c:v>191495714.2857143</c:v>
                </c:pt>
                <c:pt idx="6">
                  <c:v>138524545.45454547</c:v>
                </c:pt>
                <c:pt idx="7">
                  <c:v>127483437.5</c:v>
                </c:pt>
              </c:numCache>
            </c:numRef>
          </c:val>
          <c:extLst>
            <c:ext xmlns:c16="http://schemas.microsoft.com/office/drawing/2014/chart" uri="{C3380CC4-5D6E-409C-BE32-E72D297353CC}">
              <c16:uniqueId val="{00000010-BB37-4C67-B9E8-55EEEB34204A}"/>
            </c:ext>
          </c:extLst>
        </c:ser>
        <c:dLbls>
          <c:dLblPos val="outEnd"/>
          <c:showLegendKey val="0"/>
          <c:showVal val="1"/>
          <c:showCatName val="0"/>
          <c:showSerName val="0"/>
          <c:showPercent val="0"/>
          <c:showBubbleSize val="0"/>
        </c:dLbls>
        <c:gapWidth val="219"/>
        <c:overlap val="-27"/>
        <c:axId val="1795321679"/>
        <c:axId val="1795322159"/>
      </c:barChart>
      <c:catAx>
        <c:axId val="17953216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t>Industry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795322159"/>
        <c:crosses val="autoZero"/>
        <c:auto val="1"/>
        <c:lblAlgn val="ctr"/>
        <c:lblOffset val="100"/>
        <c:noMultiLvlLbl val="0"/>
      </c:catAx>
      <c:valAx>
        <c:axId val="17953221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t>Funding</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quot;M&quot;"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7953216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[Analysis_Workbook.xlsm]PA calculations!PivotTable3</c:name>
    <c:fmtId val="3"/>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a:solidFill>
                  <a:schemeClr val="accent2"/>
                </a:solidFill>
              </a:rPr>
              <a:t>Leaness</a:t>
            </a:r>
            <a:r>
              <a:rPr lang="en-US" sz="1600" baseline="0">
                <a:solidFill>
                  <a:schemeClr val="accent2"/>
                </a:solidFill>
              </a:rPr>
              <a:t> of startups (Higher Revenue per Employee)</a:t>
            </a:r>
            <a:endParaRPr lang="en-US" sz="1600">
              <a:solidFill>
                <a:schemeClr val="accent2"/>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'PA calculations'!$B$14:$B$15</c:f>
              <c:strCache>
                <c:ptCount val="1"/>
                <c:pt idx="0">
                  <c:v>Non Profitable</c:v>
                </c:pt>
              </c:strCache>
            </c:strRef>
          </c:tx>
          <c:spPr>
            <a:solidFill>
              <a:schemeClr val="accent1"/>
            </a:solidFill>
            <a:ln>
              <a:noFill/>
            </a:ln>
            <a:effectLst/>
          </c:spPr>
          <c:invertIfNegative val="0"/>
          <c:cat>
            <c:strRef>
              <c:f>'PA calculations'!$A$16:$A$23</c:f>
              <c:strCache>
                <c:ptCount val="8"/>
                <c:pt idx="0">
                  <c:v>AI</c:v>
                </c:pt>
                <c:pt idx="1">
                  <c:v>Cybersecurity</c:v>
                </c:pt>
                <c:pt idx="2">
                  <c:v>E-Commerce</c:v>
                </c:pt>
                <c:pt idx="3">
                  <c:v>EdTech</c:v>
                </c:pt>
                <c:pt idx="4">
                  <c:v>FinTech</c:v>
                </c:pt>
                <c:pt idx="5">
                  <c:v>Gaming</c:v>
                </c:pt>
                <c:pt idx="6">
                  <c:v>HealthTech</c:v>
                </c:pt>
                <c:pt idx="7">
                  <c:v>IoT</c:v>
                </c:pt>
              </c:strCache>
            </c:strRef>
          </c:cat>
          <c:val>
            <c:numRef>
              <c:f>'PA calculations'!$B$16:$B$23</c:f>
              <c:numCache>
                <c:formatCode>_("$"* #,##0.00_);_("$"* \(#,##0.00\);_("$"* "-"??_);_(@_)</c:formatCode>
                <c:ptCount val="8"/>
                <c:pt idx="0">
                  <c:v>41323.57575757576</c:v>
                </c:pt>
                <c:pt idx="1">
                  <c:v>111768.08571428571</c:v>
                </c:pt>
                <c:pt idx="2">
                  <c:v>35617.28125</c:v>
                </c:pt>
                <c:pt idx="3">
                  <c:v>25212.375</c:v>
                </c:pt>
                <c:pt idx="4">
                  <c:v>41721.702127659577</c:v>
                </c:pt>
                <c:pt idx="5">
                  <c:v>30785.90243902439</c:v>
                </c:pt>
                <c:pt idx="6">
                  <c:v>37244.185185185182</c:v>
                </c:pt>
                <c:pt idx="7">
                  <c:v>40308.275862068964</c:v>
                </c:pt>
              </c:numCache>
            </c:numRef>
          </c:val>
          <c:extLst>
            <c:ext xmlns:c16="http://schemas.microsoft.com/office/drawing/2014/chart" uri="{C3380CC4-5D6E-409C-BE32-E72D297353CC}">
              <c16:uniqueId val="{00000000-3D11-4A59-BE67-031B89EEDCE0}"/>
            </c:ext>
          </c:extLst>
        </c:ser>
        <c:ser>
          <c:idx val="1"/>
          <c:order val="1"/>
          <c:tx>
            <c:strRef>
              <c:f>'PA calculations'!$C$14:$C$15</c:f>
              <c:strCache>
                <c:ptCount val="1"/>
                <c:pt idx="0">
                  <c:v>Profitable</c:v>
                </c:pt>
              </c:strCache>
            </c:strRef>
          </c:tx>
          <c:spPr>
            <a:solidFill>
              <a:schemeClr val="accent2"/>
            </a:solidFill>
            <a:ln>
              <a:noFill/>
            </a:ln>
            <a:effectLst/>
          </c:spPr>
          <c:invertIfNegative val="0"/>
          <c:cat>
            <c:strRef>
              <c:f>'PA calculations'!$A$16:$A$23</c:f>
              <c:strCache>
                <c:ptCount val="8"/>
                <c:pt idx="0">
                  <c:v>AI</c:v>
                </c:pt>
                <c:pt idx="1">
                  <c:v>Cybersecurity</c:v>
                </c:pt>
                <c:pt idx="2">
                  <c:v>E-Commerce</c:v>
                </c:pt>
                <c:pt idx="3">
                  <c:v>EdTech</c:v>
                </c:pt>
                <c:pt idx="4">
                  <c:v>FinTech</c:v>
                </c:pt>
                <c:pt idx="5">
                  <c:v>Gaming</c:v>
                </c:pt>
                <c:pt idx="6">
                  <c:v>HealthTech</c:v>
                </c:pt>
                <c:pt idx="7">
                  <c:v>IoT</c:v>
                </c:pt>
              </c:strCache>
            </c:strRef>
          </c:cat>
          <c:val>
            <c:numRef>
              <c:f>'PA calculations'!$C$16:$C$23</c:f>
              <c:numCache>
                <c:formatCode>_("$"* #,##0.00_);_("$"* \(#,##0.00\);_("$"* "-"??_);_(@_)</c:formatCode>
                <c:ptCount val="8"/>
                <c:pt idx="0">
                  <c:v>49668.137931034486</c:v>
                </c:pt>
                <c:pt idx="1">
                  <c:v>88687.5625</c:v>
                </c:pt>
                <c:pt idx="2">
                  <c:v>66632.68421052632</c:v>
                </c:pt>
                <c:pt idx="3">
                  <c:v>42140.26470588235</c:v>
                </c:pt>
                <c:pt idx="4">
                  <c:v>34588.625</c:v>
                </c:pt>
                <c:pt idx="5">
                  <c:v>60430.190476190473</c:v>
                </c:pt>
                <c:pt idx="6">
                  <c:v>87056.818181818177</c:v>
                </c:pt>
                <c:pt idx="7">
                  <c:v>14944.09375</c:v>
                </c:pt>
              </c:numCache>
            </c:numRef>
          </c:val>
          <c:extLst>
            <c:ext xmlns:c16="http://schemas.microsoft.com/office/drawing/2014/chart" uri="{C3380CC4-5D6E-409C-BE32-E72D297353CC}">
              <c16:uniqueId val="{00000001-3D11-4A59-BE67-031B89EEDCE0}"/>
            </c:ext>
          </c:extLst>
        </c:ser>
        <c:dLbls>
          <c:showLegendKey val="0"/>
          <c:showVal val="0"/>
          <c:showCatName val="0"/>
          <c:showSerName val="0"/>
          <c:showPercent val="0"/>
          <c:showBubbleSize val="0"/>
        </c:dLbls>
        <c:gapWidth val="219"/>
        <c:overlap val="-27"/>
        <c:axId val="468224879"/>
        <c:axId val="468225359"/>
      </c:barChart>
      <c:catAx>
        <c:axId val="468224879"/>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Industry</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68225359"/>
        <c:crosses val="autoZero"/>
        <c:auto val="1"/>
        <c:lblAlgn val="ctr"/>
        <c:lblOffset val="100"/>
        <c:noMultiLvlLbl val="0"/>
      </c:catAx>
      <c:valAx>
        <c:axId val="4682253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Revenue Per Employee</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quot;$&quot;0,&quot;K&quot;"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682248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[Analysis_Workbook.xlsm]RB calculations!PivotTable2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t>Market Share Differences</a:t>
            </a:r>
            <a:r>
              <a:rPr lang="en-US" sz="1800" baseline="0"/>
              <a:t> by Region</a:t>
            </a:r>
            <a:endParaRPr lang="en-US" sz="18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'RB calculations'!$B$1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'RB calculations'!$A$2:$A$6</c:f>
              <c:strCache>
                <c:ptCount val="5"/>
                <c:pt idx="0">
                  <c:v>Asia</c:v>
                </c:pt>
                <c:pt idx="1">
                  <c:v>Australia</c:v>
                </c:pt>
                <c:pt idx="2">
                  <c:v>Europe</c:v>
                </c:pt>
                <c:pt idx="3">
                  <c:v>North America</c:v>
                </c:pt>
                <c:pt idx="4">
                  <c:v>South America</c:v>
                </c:pt>
              </c:strCache>
            </c:strRef>
          </c:cat>
          <c:val>
            <c:numRef>
              <c:f>'RB calculations'!$B$2:$B$6</c:f>
              <c:numCache>
                <c:formatCode>0.00"%"</c:formatCode>
                <c:ptCount val="5"/>
                <c:pt idx="0">
                  <c:v>5.2370000000000001</c:v>
                </c:pt>
                <c:pt idx="1">
                  <c:v>5.4131999999999998</c:v>
                </c:pt>
                <c:pt idx="2">
                  <c:v>5.2633999999999999</c:v>
                </c:pt>
                <c:pt idx="3">
                  <c:v>5.3250000000000002</c:v>
                </c:pt>
                <c:pt idx="4">
                  <c:v>4.2260999999999997</c:v>
                </c:pt>
              </c:numCache>
            </c:numRef>
          </c:val>
          <c:extLst>
            <c:ext xmlns:c16="http://schemas.microsoft.com/office/drawing/2014/chart" uri="{C3380CC4-5D6E-409C-BE32-E72D297353CC}">
              <c16:uniqueId val="{00000000-DF66-4DE3-A639-2AA1BB1D00BE}"/>
            </c:ext>
          </c:extLst>
        </c:ser>
        <c:dLbls>
          <c:dLblPos val="outEnd"/>
          <c:showLegendKey val="0"/>
          <c:showVal val="1"/>
          <c:showCatName val="0"/>
          <c:showSerName val="0"/>
          <c:showPercent val="0"/>
          <c:showBubbleSize val="0"/>
        </c:dLbls>
        <c:gapWidth val="182"/>
        <c:axId val="2032302048"/>
        <c:axId val="2032305888"/>
      </c:barChart>
      <c:catAx>
        <c:axId val="203230204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32305888"/>
        <c:crosses val="autoZero"/>
        <c:auto val="1"/>
        <c:lblAlgn val="ctr"/>
        <c:lblOffset val="100"/>
        <c:noMultiLvlLbl val="0"/>
      </c:catAx>
      <c:valAx>
        <c:axId val="203230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a:t>
                </a:r>
                <a:r>
                  <a:rPr lang="en-US" baseline="0"/>
                  <a:t> Market Share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quot;%&quot;"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32302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[Analysis_Workbook.xlsm]RB calculations!PivotTable1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Valuation</a:t>
            </a:r>
            <a:r>
              <a:rPr lang="en-US" sz="2000" baseline="0"/>
              <a:t> by Region</a:t>
            </a:r>
            <a:endParaRPr lang="en-US" sz="20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'RB calculations'!$E$1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'RB calculations'!$D$2:$D$6</c:f>
              <c:strCache>
                <c:ptCount val="5"/>
                <c:pt idx="0">
                  <c:v>Asia</c:v>
                </c:pt>
                <c:pt idx="1">
                  <c:v>Australia</c:v>
                </c:pt>
                <c:pt idx="2">
                  <c:v>Europe</c:v>
                </c:pt>
                <c:pt idx="3">
                  <c:v>North America</c:v>
                </c:pt>
                <c:pt idx="4">
                  <c:v>South America</c:v>
                </c:pt>
              </c:strCache>
            </c:strRef>
          </c:cat>
          <c:val>
            <c:numRef>
              <c:f>'RB calculations'!$E$2:$E$6</c:f>
              <c:numCache>
                <c:formatCode>"$"0.00,,,"B"</c:formatCode>
                <c:ptCount val="5"/>
                <c:pt idx="0">
                  <c:v>145412260000</c:v>
                </c:pt>
                <c:pt idx="1">
                  <c:v>141985220000</c:v>
                </c:pt>
                <c:pt idx="2">
                  <c:v>124285860000</c:v>
                </c:pt>
                <c:pt idx="3">
                  <c:v>144755950000</c:v>
                </c:pt>
                <c:pt idx="4">
                  <c:v>129465300000</c:v>
                </c:pt>
              </c:numCache>
            </c:numRef>
          </c:val>
          <c:extLst>
            <c:ext xmlns:c16="http://schemas.microsoft.com/office/drawing/2014/chart" uri="{C3380CC4-5D6E-409C-BE32-E72D297353CC}">
              <c16:uniqueId val="{00000000-C69B-4CC9-B084-84CA6AF95209}"/>
            </c:ext>
          </c:extLst>
        </c:ser>
        <c:dLbls>
          <c:dLblPos val="outEnd"/>
          <c:showLegendKey val="0"/>
          <c:showVal val="1"/>
          <c:showCatName val="0"/>
          <c:showSerName val="0"/>
          <c:showPercent val="0"/>
          <c:showBubbleSize val="0"/>
        </c:dLbls>
        <c:gapWidth val="182"/>
        <c:axId val="1152869472"/>
        <c:axId val="1152847392"/>
      </c:barChart>
      <c:catAx>
        <c:axId val="115286947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47392"/>
        <c:crosses val="autoZero"/>
        <c:auto val="1"/>
        <c:lblAlgn val="ctr"/>
        <c:lblOffset val="100"/>
        <c:noMultiLvlLbl val="0"/>
      </c:catAx>
      <c:valAx>
        <c:axId val="11528473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quot;B&quot;"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694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[Analysis_Workbook.xlsm]RB calculations!PivotTable3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Funding Amount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'RB calculations'!$H$1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'RB calculations'!$G$2:$G$6</c:f>
              <c:strCache>
                <c:ptCount val="5"/>
                <c:pt idx="0">
                  <c:v>Asia</c:v>
                </c:pt>
                <c:pt idx="1">
                  <c:v>Australia</c:v>
                </c:pt>
                <c:pt idx="2">
                  <c:v>Europe</c:v>
                </c:pt>
                <c:pt idx="3">
                  <c:v>North America</c:v>
                </c:pt>
                <c:pt idx="4">
                  <c:v>South America</c:v>
                </c:pt>
              </c:strCache>
            </c:strRef>
          </c:cat>
          <c:val>
            <c:numRef>
              <c:f>'RB calculations'!$H$2:$H$6</c:f>
              <c:numCache>
                <c:formatCode>"$"0.00,,,"B"</c:formatCode>
                <c:ptCount val="5"/>
                <c:pt idx="0">
                  <c:v>16146330000</c:v>
                </c:pt>
                <c:pt idx="1">
                  <c:v>15846840000</c:v>
                </c:pt>
                <c:pt idx="2">
                  <c:v>14501240000</c:v>
                </c:pt>
                <c:pt idx="3">
                  <c:v>15559090000</c:v>
                </c:pt>
                <c:pt idx="4">
                  <c:v>14274880000</c:v>
                </c:pt>
              </c:numCache>
            </c:numRef>
          </c:val>
          <c:extLst>
            <c:ext xmlns:c16="http://schemas.microsoft.com/office/drawing/2014/chart" uri="{C3380CC4-5D6E-409C-BE32-E72D297353CC}">
              <c16:uniqueId val="{00000000-6B9A-4163-9C70-80036225E935}"/>
            </c:ext>
          </c:extLst>
        </c:ser>
        <c:dLbls>
          <c:dLblPos val="outEnd"/>
          <c:showLegendKey val="0"/>
          <c:showVal val="1"/>
          <c:showCatName val="0"/>
          <c:showSerName val="0"/>
          <c:showPercent val="0"/>
          <c:showBubbleSize val="0"/>
        </c:dLbls>
        <c:gapWidth val="182"/>
        <c:axId val="1152849792"/>
        <c:axId val="1152850752"/>
      </c:barChart>
      <c:catAx>
        <c:axId val="115284979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50752"/>
        <c:crosses val="autoZero"/>
        <c:auto val="1"/>
        <c:lblAlgn val="ctr"/>
        <c:lblOffset val="100"/>
        <c:noMultiLvlLbl val="0"/>
      </c:catAx>
      <c:valAx>
        <c:axId val="1152850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Funding</a:t>
                </a:r>
                <a:r>
                  <a:rPr lang="en-US" baseline="0"/>
                  <a:t> Amount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quot;B&quot;"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497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[Analysis_Workbook.xlsm]RB calculations!PivotTable4</c:name>
    <c:fmtId val="0"/>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Industry</a:t>
            </a:r>
            <a:r>
              <a:rPr lang="en-US" sz="2000" baseline="0"/>
              <a:t> Numbers by Region</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'RB calculations'!$K$1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'RB calculations'!$J$2:$J$6</c:f>
              <c:strCache>
                <c:ptCount val="5"/>
                <c:pt idx="0">
                  <c:v>Asia</c:v>
                </c:pt>
                <c:pt idx="1">
                  <c:v>Australia</c:v>
                </c:pt>
                <c:pt idx="2">
                  <c:v>Europe</c:v>
                </c:pt>
                <c:pt idx="3">
                  <c:v>North America</c:v>
                </c:pt>
                <c:pt idx="4">
                  <c:v>South America</c:v>
                </c:pt>
              </c:strCache>
            </c:strRef>
          </c:cat>
          <c:val>
            <c:numRef>
              <c:f>'RB calculations'!$K$2:$K$6</c:f>
              <c:numCache>
                <c:formatCode>General</c:formatCode>
                <c:ptCount val="5"/>
                <c:pt idx="0">
                  <c:v>103</c:v>
                </c:pt>
                <c:pt idx="1">
                  <c:v>108</c:v>
                </c:pt>
                <c:pt idx="2">
                  <c:v>102</c:v>
                </c:pt>
                <c:pt idx="3">
                  <c:v>97</c:v>
                </c:pt>
                <c:pt idx="4">
                  <c:v>90</c:v>
                </c:pt>
              </c:numCache>
            </c:numRef>
          </c:val>
          <c:extLst>
            <c:ext xmlns:c16="http://schemas.microsoft.com/office/drawing/2014/chart" uri="{C3380CC4-5D6E-409C-BE32-E72D297353CC}">
              <c16:uniqueId val="{00000000-D0BF-4668-A439-55A4D8DF088F}"/>
            </c:ext>
          </c:extLst>
        </c:ser>
        <c:dLbls>
          <c:dLblPos val="outEnd"/>
          <c:showLegendKey val="0"/>
          <c:showVal val="1"/>
          <c:showCatName val="0"/>
          <c:showSerName val="0"/>
          <c:showPercent val="0"/>
          <c:showBubbleSize val="0"/>
        </c:dLbls>
        <c:gapWidth val="182"/>
        <c:axId val="1152845952"/>
        <c:axId val="1152865632"/>
      </c:barChart>
      <c:catAx>
        <c:axId val="115284595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65632"/>
        <c:crosses val="autoZero"/>
        <c:auto val="1"/>
        <c:lblAlgn val="ctr"/>
        <c:lblOffset val="100"/>
        <c:noMultiLvlLbl val="0"/>
      </c:catAx>
      <c:valAx>
        <c:axId val="11528656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Numbers of</a:t>
                </a:r>
                <a:r>
                  <a:rPr lang="en-US" baseline="0"/>
                  <a:t> Industries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45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[Analysis_Workbook.xlsm]RB calculations!PivotTable3</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solidFill>
                  <a:schemeClr val="accent2"/>
                </a:solidFill>
              </a:rPr>
              <a:t>Funding Amount by Region</a:t>
            </a:r>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'RB calculations'!$H$1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'RB calculations'!$G$2:$G$6</c:f>
              <c:strCache>
                <c:ptCount val="5"/>
                <c:pt idx="0">
                  <c:v>Asia</c:v>
                </c:pt>
                <c:pt idx="1">
                  <c:v>Australia</c:v>
                </c:pt>
                <c:pt idx="2">
                  <c:v>Europe</c:v>
                </c:pt>
                <c:pt idx="3">
                  <c:v>North America</c:v>
                </c:pt>
                <c:pt idx="4">
                  <c:v>South America</c:v>
                </c:pt>
              </c:strCache>
            </c:strRef>
          </c:cat>
          <c:val>
            <c:numRef>
              <c:f>'RB calculations'!$H$2:$H$6</c:f>
              <c:numCache>
                <c:formatCode>"$"0.00,,,"B"</c:formatCode>
                <c:ptCount val="5"/>
                <c:pt idx="0">
                  <c:v>16146330000</c:v>
                </c:pt>
                <c:pt idx="1">
                  <c:v>15846840000</c:v>
                </c:pt>
                <c:pt idx="2">
                  <c:v>14501240000</c:v>
                </c:pt>
                <c:pt idx="3">
                  <c:v>15559090000</c:v>
                </c:pt>
                <c:pt idx="4">
                  <c:v>14274880000</c:v>
                </c:pt>
              </c:numCache>
            </c:numRef>
          </c:val>
          <c:extLst>
            <c:ext xmlns:c16="http://schemas.microsoft.com/office/drawing/2014/chart" uri="{C3380CC4-5D6E-409C-BE32-E72D297353CC}">
              <c16:uniqueId val="{00000002-A717-4B73-BEC7-78B5FEF477CD}"/>
            </c:ext>
          </c:extLst>
        </c:ser>
        <c:dLbls>
          <c:dLblPos val="outEnd"/>
          <c:showLegendKey val="0"/>
          <c:showVal val="1"/>
          <c:showCatName val="0"/>
          <c:showSerName val="0"/>
          <c:showPercent val="0"/>
          <c:showBubbleSize val="0"/>
        </c:dLbls>
        <c:gapWidth val="182"/>
        <c:axId val="1152869472"/>
        <c:axId val="1152847392"/>
      </c:barChart>
      <c:catAx>
        <c:axId val="115286947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47392"/>
        <c:crosses val="autoZero"/>
        <c:auto val="1"/>
        <c:lblAlgn val="ctr"/>
        <c:lblOffset val="100"/>
        <c:noMultiLvlLbl val="0"/>
      </c:catAx>
      <c:valAx>
        <c:axId val="11528473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Valuation</a:t>
                </a:r>
              </a:p>
            </c:rich>
          </c:tx>
          <c:overlay val="0"/>
          <c:spPr>
            <a:noFill/>
            <a:ln>
              <a:noFill/>
            </a:ln>
            <a:effectLst/>
          </c:spPr>
        </c:title>
        <c:numFmt formatCode="&quot;$&quot;0,,,&quot;B&quot;"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69472"/>
        <c:crosses val="autoZero"/>
        <c:crossBetween val="between"/>
      </c:valAx>
    </c:plotArea>
    <c:plotVisOnly val="1"/>
    <c:dispBlanksAs val="gap"/>
    <c:showDLblsOverMax val="0"/>
    <c:extLst/>
  </c:chart>
  <c:spPr>
    <a:ln w="38100"/>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[Analysis_Workbook.xlsm]RB calculations!PivotTable1</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solidFill>
                  <a:schemeClr val="accent2"/>
                </a:solidFill>
              </a:rPr>
              <a:t>Valuation</a:t>
            </a:r>
            <a:r>
              <a:rPr lang="en-US" sz="2000" baseline="0">
                <a:solidFill>
                  <a:schemeClr val="accent2"/>
                </a:solidFill>
              </a:rPr>
              <a:t> by Region</a:t>
            </a:r>
            <a:endParaRPr lang="en-US" sz="2000">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'RB calculations'!$E$1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'RB calculations'!$D$2:$D$6</c:f>
              <c:strCache>
                <c:ptCount val="5"/>
                <c:pt idx="0">
                  <c:v>Asia</c:v>
                </c:pt>
                <c:pt idx="1">
                  <c:v>Australia</c:v>
                </c:pt>
                <c:pt idx="2">
                  <c:v>Europe</c:v>
                </c:pt>
                <c:pt idx="3">
                  <c:v>North America</c:v>
                </c:pt>
                <c:pt idx="4">
                  <c:v>South America</c:v>
                </c:pt>
              </c:strCache>
            </c:strRef>
          </c:cat>
          <c:val>
            <c:numRef>
              <c:f>'RB calculations'!$E$2:$E$6</c:f>
              <c:numCache>
                <c:formatCode>"$"0.00,,,"B"</c:formatCode>
                <c:ptCount val="5"/>
                <c:pt idx="0">
                  <c:v>145412260000</c:v>
                </c:pt>
                <c:pt idx="1">
                  <c:v>141985220000</c:v>
                </c:pt>
                <c:pt idx="2">
                  <c:v>124285860000</c:v>
                </c:pt>
                <c:pt idx="3">
                  <c:v>144755950000</c:v>
                </c:pt>
                <c:pt idx="4">
                  <c:v>129465300000</c:v>
                </c:pt>
              </c:numCache>
            </c:numRef>
          </c:val>
          <c:extLst>
            <c:ext xmlns:c16="http://schemas.microsoft.com/office/drawing/2014/chart" uri="{C3380CC4-5D6E-409C-BE32-E72D297353CC}">
              <c16:uniqueId val="{00000000-B846-47EA-B716-761F5A134A3B}"/>
            </c:ext>
          </c:extLst>
        </c:ser>
        <c:dLbls>
          <c:dLblPos val="outEnd"/>
          <c:showLegendKey val="0"/>
          <c:showVal val="1"/>
          <c:showCatName val="0"/>
          <c:showSerName val="0"/>
          <c:showPercent val="0"/>
          <c:showBubbleSize val="0"/>
        </c:dLbls>
        <c:gapWidth val="182"/>
        <c:axId val="1152869472"/>
        <c:axId val="1152847392"/>
      </c:barChart>
      <c:catAx>
        <c:axId val="115286947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47392"/>
        <c:crosses val="autoZero"/>
        <c:auto val="1"/>
        <c:lblAlgn val="ctr"/>
        <c:lblOffset val="100"/>
        <c:noMultiLvlLbl val="0"/>
      </c:catAx>
      <c:valAx>
        <c:axId val="11528473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quot;B&quot;"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694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[Analysis_Workbook.xlsm]RB calculations!PivotTable4</c:name>
    <c:fmtId val="10"/>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solidFill>
                  <a:schemeClr val="accent2"/>
                </a:solidFill>
              </a:rPr>
              <a:t>Industry</a:t>
            </a:r>
            <a:r>
              <a:rPr lang="en-US" sz="2000" baseline="0">
                <a:solidFill>
                  <a:schemeClr val="accent2"/>
                </a:solidFill>
              </a:rPr>
              <a:t> Numbers by Region</a:t>
            </a:r>
            <a:endParaRPr lang="en-US" sz="2000">
              <a:solidFill>
                <a:schemeClr val="accent2"/>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'RB calculations'!$K$1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'RB calculations'!$J$2:$J$6</c:f>
              <c:strCache>
                <c:ptCount val="5"/>
                <c:pt idx="0">
                  <c:v>Asia</c:v>
                </c:pt>
                <c:pt idx="1">
                  <c:v>Australia</c:v>
                </c:pt>
                <c:pt idx="2">
                  <c:v>Europe</c:v>
                </c:pt>
                <c:pt idx="3">
                  <c:v>North America</c:v>
                </c:pt>
                <c:pt idx="4">
                  <c:v>South America</c:v>
                </c:pt>
              </c:strCache>
            </c:strRef>
          </c:cat>
          <c:val>
            <c:numRef>
              <c:f>'RB calculations'!$K$2:$K$6</c:f>
              <c:numCache>
                <c:formatCode>General</c:formatCode>
                <c:ptCount val="5"/>
                <c:pt idx="0">
                  <c:v>103</c:v>
                </c:pt>
                <c:pt idx="1">
                  <c:v>108</c:v>
                </c:pt>
                <c:pt idx="2">
                  <c:v>102</c:v>
                </c:pt>
                <c:pt idx="3">
                  <c:v>97</c:v>
                </c:pt>
                <c:pt idx="4">
                  <c:v>90</c:v>
                </c:pt>
              </c:numCache>
            </c:numRef>
          </c:val>
          <c:extLst>
            <c:ext xmlns:c16="http://schemas.microsoft.com/office/drawing/2014/chart" uri="{C3380CC4-5D6E-409C-BE32-E72D297353CC}">
              <c16:uniqueId val="{00000000-E31A-4A11-A547-798D9681BDC7}"/>
            </c:ext>
          </c:extLst>
        </c:ser>
        <c:dLbls>
          <c:dLblPos val="outEnd"/>
          <c:showLegendKey val="0"/>
          <c:showVal val="1"/>
          <c:showCatName val="0"/>
          <c:showSerName val="0"/>
          <c:showPercent val="0"/>
          <c:showBubbleSize val="0"/>
        </c:dLbls>
        <c:gapWidth val="182"/>
        <c:axId val="1152845952"/>
        <c:axId val="1152865632"/>
      </c:barChart>
      <c:catAx>
        <c:axId val="115284595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65632"/>
        <c:crosses val="autoZero"/>
        <c:auto val="1"/>
        <c:lblAlgn val="ctr"/>
        <c:lblOffset val="100"/>
        <c:noMultiLvlLbl val="0"/>
      </c:catAx>
      <c:valAx>
        <c:axId val="11528656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Numbers of</a:t>
                </a:r>
                <a:r>
                  <a:rPr lang="en-US" baseline="0"/>
                  <a:t> Industries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52845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[Analysis_Workbook.xlsm]RB calculations!PivotTable2</c:name>
    <c:fmtId val="2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solidFill>
                  <a:schemeClr val="accent2"/>
                </a:solidFill>
              </a:rPr>
              <a:t>Market Share Differences</a:t>
            </a:r>
            <a:r>
              <a:rPr lang="en-US" sz="1800" baseline="0">
                <a:solidFill>
                  <a:schemeClr val="accent2"/>
                </a:solidFill>
              </a:rPr>
              <a:t> by Region</a:t>
            </a:r>
            <a:endParaRPr lang="en-US" sz="1800">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'RB calculations'!$B$1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'RB calculations'!$A$2:$A$6</c:f>
              <c:strCache>
                <c:ptCount val="5"/>
                <c:pt idx="0">
                  <c:v>Asia</c:v>
                </c:pt>
                <c:pt idx="1">
                  <c:v>Australia</c:v>
                </c:pt>
                <c:pt idx="2">
                  <c:v>Europe</c:v>
                </c:pt>
                <c:pt idx="3">
                  <c:v>North America</c:v>
                </c:pt>
                <c:pt idx="4">
                  <c:v>South America</c:v>
                </c:pt>
              </c:strCache>
            </c:strRef>
          </c:cat>
          <c:val>
            <c:numRef>
              <c:f>'RB calculations'!$B$2:$B$6</c:f>
              <c:numCache>
                <c:formatCode>0.00"%"</c:formatCode>
                <c:ptCount val="5"/>
                <c:pt idx="0">
                  <c:v>5.2370000000000001</c:v>
                </c:pt>
                <c:pt idx="1">
                  <c:v>5.4131999999999998</c:v>
                </c:pt>
                <c:pt idx="2">
                  <c:v>5.2633999999999999</c:v>
                </c:pt>
                <c:pt idx="3">
                  <c:v>5.3250000000000002</c:v>
                </c:pt>
                <c:pt idx="4">
                  <c:v>4.2260999999999997</c:v>
                </c:pt>
              </c:numCache>
            </c:numRef>
          </c:val>
          <c:extLst>
            <c:ext xmlns:c16="http://schemas.microsoft.com/office/drawing/2014/chart" uri="{C3380CC4-5D6E-409C-BE32-E72D297353CC}">
              <c16:uniqueId val="{00000000-4C6A-4821-97CA-AF9B352058CE}"/>
            </c:ext>
          </c:extLst>
        </c:ser>
        <c:dLbls>
          <c:dLblPos val="outEnd"/>
          <c:showLegendKey val="0"/>
          <c:showVal val="1"/>
          <c:showCatName val="0"/>
          <c:showSerName val="0"/>
          <c:showPercent val="0"/>
          <c:showBubbleSize val="0"/>
        </c:dLbls>
        <c:gapWidth val="182"/>
        <c:axId val="2032302048"/>
        <c:axId val="2032305888"/>
      </c:barChart>
      <c:catAx>
        <c:axId val="203230204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32305888"/>
        <c:crosses val="autoZero"/>
        <c:auto val="1"/>
        <c:lblAlgn val="ctr"/>
        <c:lblOffset val="100"/>
        <c:noMultiLvlLbl val="0"/>
      </c:catAx>
      <c:valAx>
        <c:axId val="203230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a:t>
                </a:r>
                <a:r>
                  <a:rPr lang="en-US" baseline="0"/>
                  <a:t> Market Share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quot;%&quot;"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32302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[Analysis_Workbook.xlsm]ES calculations!PivotTable1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solidFill>
                  <a:schemeClr val="accent2">
                    <a:lumMod val="75000"/>
                  </a:schemeClr>
                </a:solidFill>
              </a:rPr>
              <a:t>Exit</a:t>
            </a:r>
            <a:r>
              <a:rPr lang="en-US" sz="2000" baseline="0">
                <a:solidFill>
                  <a:schemeClr val="accent2">
                    <a:lumMod val="75000"/>
                  </a:schemeClr>
                </a:solidFill>
              </a:rPr>
              <a:t> Status of Profitable Startups</a:t>
            </a:r>
            <a:endParaRPr lang="en-US" sz="2000">
              <a:solidFill>
                <a:schemeClr val="accent2">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dLbl>
          <c:idx val="0"/>
          <c:layout>
            <c:manualLayout>
              <c:x val="0.12056969009527076"/>
              <c:y val="-0.1496773282616449"/>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9.750414364033641E-2"/>
              <c:y val="0.164315496272739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layout>
            <c:manualLayout>
              <c:x val="-0.10151325305442348"/>
              <c:y val="-8.934942384483396E-3"/>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9.750414364033641E-2"/>
              <c:y val="0.164315496272739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0151325305442348"/>
              <c:y val="-8.934942384483396E-3"/>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2056969009527076"/>
              <c:y val="-0.1496773282616449"/>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9.750414364033641E-2"/>
              <c:y val="0.164315496272739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0151325305442348"/>
              <c:y val="-8.934942384483396E-3"/>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2056969009527076"/>
              <c:y val="-0.1496773282616449"/>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9.750414364033641E-2"/>
              <c:y val="0.164315496272739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0.10151325305442348"/>
              <c:y val="-8.934942384483396E-3"/>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0.12056969009527076"/>
              <c:y val="-0.1496773282616449"/>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'ES calculations'!$B$1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BE6-42C9-B9D1-3CC8B15851F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BE6-42C9-B9D1-3CC8B15851F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BE6-42C9-B9D1-3CC8B15851F8}"/>
              </c:ext>
            </c:extLst>
          </c:dPt>
          <c:dLbls>
            <c:dLbl>
              <c:idx val="0"/>
              <c:layout>
                <c:manualLayout>
                  <c:x val="-9.750414364033641E-2"/>
                  <c:y val="0.164315496272739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BE6-42C9-B9D1-3CC8B15851F8}"/>
                </c:ext>
              </c:extLst>
            </c:dLbl>
            <c:dLbl>
              <c:idx val="1"/>
              <c:layout>
                <c:manualLayout>
                  <c:x val="-0.10151325305442348"/>
                  <c:y val="-8.934942384483396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BE6-42C9-B9D1-3CC8B15851F8}"/>
                </c:ext>
              </c:extLst>
            </c:dLbl>
            <c:dLbl>
              <c:idx val="2"/>
              <c:layout>
                <c:manualLayout>
                  <c:x val="0.12056969009527076"/>
                  <c:y val="-0.1496773282616449"/>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BE6-42C9-B9D1-3CC8B15851F8}"/>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10000"/>
                        <a:lumOff val="90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'ES calculations'!$A$2:$A$5</c:f>
              <c:strCache>
                <c:ptCount val="3"/>
                <c:pt idx="0">
                  <c:v>Acquired</c:v>
                </c:pt>
                <c:pt idx="1">
                  <c:v>IPO</c:v>
                </c:pt>
                <c:pt idx="2">
                  <c:v>Private</c:v>
                </c:pt>
              </c:strCache>
            </c:strRef>
          </c:cat>
          <c:val>
            <c:numRef>
              <c:f>'ES calculations'!$B$2:$B$5</c:f>
              <c:numCache>
                <c:formatCode>0.00%</c:formatCode>
                <c:ptCount val="3"/>
                <c:pt idx="0">
                  <c:v>0.214</c:v>
                </c:pt>
                <c:pt idx="1">
                  <c:v>0.09</c:v>
                </c:pt>
                <c:pt idx="2">
                  <c:v>0.69599999999999995</c:v>
                </c:pt>
              </c:numCache>
            </c:numRef>
          </c:val>
          <c:extLst>
            <c:ext xmlns:c16="http://schemas.microsoft.com/office/drawing/2014/chart" uri="{C3380CC4-5D6E-409C-BE32-E72D297353CC}">
              <c16:uniqueId val="{00000006-EBE6-42C9-B9D1-3CC8B15851F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[Analysis_Workbook.xlsm]ES calculations!PivotTable3</c:name>
    <c:fmtId val="3"/>
  </c:pivotSource>
  <c:chart>
    <c:title>
      <c:tx>
        <c:rich>
          <a:bodyPr rot="0" spcFirstLastPara="1" vertOverflow="ellipsis" vert="horz" wrap="square" anchor="ctr" anchorCtr="1"/>
          <a:lstStyle/>
          <a:p>
            <a:pPr>
              <a:defRPr sz="1400" b="0" i="0" u="none" strike="noStrike" kern="1200" spc="0" baseline="0">
                <a:solidFill>
                  <a:schemeClr val="accent2"/>
                </a:solidFill>
                <a:latin typeface="+mn-lt"/>
                <a:ea typeface="+mn-ea"/>
                <a:cs typeface="+mn-cs"/>
              </a:defRPr>
            </a:pPr>
            <a:r>
              <a:rPr lang="en-US" sz="2000">
                <a:solidFill>
                  <a:schemeClr val="accent2"/>
                </a:solidFill>
              </a:rPr>
              <a:t>Exit Status</a:t>
            </a:r>
            <a:r>
              <a:rPr lang="en-US" sz="2000" baseline="0">
                <a:solidFill>
                  <a:schemeClr val="accent2"/>
                </a:solidFill>
              </a:rPr>
              <a:t> by Funding Amount</a:t>
            </a:r>
            <a:endParaRPr lang="en-US" sz="2000">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quot;$&quot;0.00,,&quot;M&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quot;$&quot;0.00,,&quot;M&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quot;$&quot;0.00,,&quot;M&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'ES calculations'!$B$9</c:f>
              <c:strCache>
                <c:ptCount val="1"/>
                <c:pt idx="0">
                  <c:v>Total</c:v>
                </c:pt>
              </c:strCache>
            </c:strRef>
          </c:tx>
          <c:spPr>
            <a:solidFill>
              <a:schemeClr val="accent1"/>
            </a:solidFill>
            <a:ln>
              <a:noFill/>
            </a:ln>
            <a:effectLst/>
          </c:spPr>
          <c:invertIfNegative val="0"/>
          <c:dLbls>
            <c:numFmt formatCode="&quot;$&quot;0.00,,&quot;M&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'ES calculations'!$A$10:$A$13</c:f>
              <c:strCache>
                <c:ptCount val="3"/>
                <c:pt idx="0">
                  <c:v>Acquired</c:v>
                </c:pt>
                <c:pt idx="1">
                  <c:v>IPO</c:v>
                </c:pt>
                <c:pt idx="2">
                  <c:v>Private</c:v>
                </c:pt>
              </c:strCache>
            </c:strRef>
          </c:cat>
          <c:val>
            <c:numRef>
              <c:f>'ES calculations'!$B$10:$B$13</c:f>
              <c:numCache>
                <c:formatCode>\$#,##0.00;\(\$#,##0.00\);\$#,##0.00</c:formatCode>
                <c:ptCount val="3"/>
                <c:pt idx="0">
                  <c:v>159976635.51401868</c:v>
                </c:pt>
                <c:pt idx="1">
                  <c:v>154586444.44444445</c:v>
                </c:pt>
                <c:pt idx="2">
                  <c:v>150156580.45977011</c:v>
                </c:pt>
              </c:numCache>
            </c:numRef>
          </c:val>
          <c:extLst>
            <c:ext xmlns:c16="http://schemas.microsoft.com/office/drawing/2014/chart" uri="{C3380CC4-5D6E-409C-BE32-E72D297353CC}">
              <c16:uniqueId val="{00000000-FA00-4775-B433-2260819115DD}"/>
            </c:ext>
          </c:extLst>
        </c:ser>
        <c:dLbls>
          <c:dLblPos val="ctr"/>
          <c:showLegendKey val="0"/>
          <c:showVal val="1"/>
          <c:showCatName val="0"/>
          <c:showSerName val="0"/>
          <c:showPercent val="0"/>
          <c:showBubbleSize val="0"/>
        </c:dLbls>
        <c:gapWidth val="150"/>
        <c:overlap val="100"/>
        <c:axId val="2049710736"/>
        <c:axId val="2049711216"/>
      </c:barChart>
      <c:catAx>
        <c:axId val="204971073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Exit Status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49711216"/>
        <c:crosses val="autoZero"/>
        <c:auto val="1"/>
        <c:lblAlgn val="ctr"/>
        <c:lblOffset val="100"/>
        <c:noMultiLvlLbl val="0"/>
      </c:catAx>
      <c:valAx>
        <c:axId val="20497112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a:t>Funding</a:t>
                </a:r>
                <a:r>
                  <a:rPr lang="en-US" sz="1000" baseline="0"/>
                  <a:t> Amount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quot;M&quot;"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497107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[Analysis_Workbook.xlsm]ES calculations!PivotTable2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solidFill>
                  <a:schemeClr val="accent2"/>
                </a:solidFill>
              </a:rPr>
              <a:t>Exit</a:t>
            </a:r>
            <a:r>
              <a:rPr lang="en-US" sz="2000" baseline="0">
                <a:solidFill>
                  <a:schemeClr val="accent2"/>
                </a:solidFill>
              </a:rPr>
              <a:t> Status by Numbers</a:t>
            </a:r>
            <a:endParaRPr lang="en-US" sz="2000">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'ES calculations'!$G$1:$G$2</c:f>
              <c:strCache>
                <c:ptCount val="1"/>
                <c:pt idx="0">
                  <c:v>Acquired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'ES calculations'!$F$3:$F$11</c:f>
              <c:strCache>
                <c:ptCount val="8"/>
                <c:pt idx="0">
                  <c:v>AI</c:v>
                </c:pt>
                <c:pt idx="1">
                  <c:v>Cybersecurity</c:v>
                </c:pt>
                <c:pt idx="2">
                  <c:v>E-Commerce</c:v>
                </c:pt>
                <c:pt idx="3">
                  <c:v>EdTech</c:v>
                </c:pt>
                <c:pt idx="4">
                  <c:v>FinTech</c:v>
                </c:pt>
                <c:pt idx="5">
                  <c:v>Gaming</c:v>
                </c:pt>
                <c:pt idx="6">
                  <c:v>HealthTech</c:v>
                </c:pt>
                <c:pt idx="7">
                  <c:v>IoT</c:v>
                </c:pt>
              </c:strCache>
            </c:strRef>
          </c:cat>
          <c:val>
            <c:numRef>
              <c:f>'ES calculations'!$G$3:$G$11</c:f>
              <c:numCache>
                <c:formatCode>General</c:formatCode>
                <c:ptCount val="8"/>
                <c:pt idx="0">
                  <c:v>11</c:v>
                </c:pt>
                <c:pt idx="1">
                  <c:v>13</c:v>
                </c:pt>
                <c:pt idx="2">
                  <c:v>18</c:v>
                </c:pt>
                <c:pt idx="3">
                  <c:v>12</c:v>
                </c:pt>
                <c:pt idx="4">
                  <c:v>24</c:v>
                </c:pt>
                <c:pt idx="5">
                  <c:v>8</c:v>
                </c:pt>
                <c:pt idx="6">
                  <c:v>9</c:v>
                </c:pt>
                <c:pt idx="7">
                  <c:v>12</c:v>
                </c:pt>
              </c:numCache>
            </c:numRef>
          </c:val>
          <c:extLst>
            <c:ext xmlns:c16="http://schemas.microsoft.com/office/drawing/2014/chart" uri="{C3380CC4-5D6E-409C-BE32-E72D297353CC}">
              <c16:uniqueId val="{00000000-BB63-41CF-A473-0AE0A2AF8D7A}"/>
            </c:ext>
          </c:extLst>
        </c:ser>
        <c:ser>
          <c:idx val="1"/>
          <c:order val="1"/>
          <c:tx>
            <c:strRef>
              <c:f>'ES calculations'!$H$1:$H$2</c:f>
              <c:strCache>
                <c:ptCount val="1"/>
                <c:pt idx="0">
                  <c:v>IPO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'ES calculations'!$F$3:$F$11</c:f>
              <c:strCache>
                <c:ptCount val="8"/>
                <c:pt idx="0">
                  <c:v>AI</c:v>
                </c:pt>
                <c:pt idx="1">
                  <c:v>Cybersecurity</c:v>
                </c:pt>
                <c:pt idx="2">
                  <c:v>E-Commerce</c:v>
                </c:pt>
                <c:pt idx="3">
                  <c:v>EdTech</c:v>
                </c:pt>
                <c:pt idx="4">
                  <c:v>FinTech</c:v>
                </c:pt>
                <c:pt idx="5">
                  <c:v>Gaming</c:v>
                </c:pt>
                <c:pt idx="6">
                  <c:v>HealthTech</c:v>
                </c:pt>
                <c:pt idx="7">
                  <c:v>IoT</c:v>
                </c:pt>
              </c:strCache>
            </c:strRef>
          </c:cat>
          <c:val>
            <c:numRef>
              <c:f>'ES calculations'!$H$3:$H$11</c:f>
              <c:numCache>
                <c:formatCode>General</c:formatCode>
                <c:ptCount val="8"/>
                <c:pt idx="0">
                  <c:v>4</c:v>
                </c:pt>
                <c:pt idx="1">
                  <c:v>4</c:v>
                </c:pt>
                <c:pt idx="2">
                  <c:v>7</c:v>
                </c:pt>
                <c:pt idx="3">
                  <c:v>7</c:v>
                </c:pt>
                <c:pt idx="4">
                  <c:v>4</c:v>
                </c:pt>
                <c:pt idx="5">
                  <c:v>7</c:v>
                </c:pt>
                <c:pt idx="6">
                  <c:v>6</c:v>
                </c:pt>
                <c:pt idx="7">
                  <c:v>6</c:v>
                </c:pt>
              </c:numCache>
            </c:numRef>
          </c:val>
          <c:extLst>
            <c:ext xmlns:c16="http://schemas.microsoft.com/office/drawing/2014/chart" uri="{C3380CC4-5D6E-409C-BE32-E72D297353CC}">
              <c16:uniqueId val="{00000001-BB63-41CF-A473-0AE0A2AF8D7A}"/>
            </c:ext>
          </c:extLst>
        </c:ser>
        <c:ser>
          <c:idx val="2"/>
          <c:order val="2"/>
          <c:tx>
            <c:strRef>
              <c:f>'ES calculations'!$I$1:$I$2</c:f>
              <c:strCache>
                <c:ptCount val="1"/>
                <c:pt idx="0">
                  <c:v>Private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'ES calculations'!$F$3:$F$11</c:f>
              <c:strCache>
                <c:ptCount val="8"/>
                <c:pt idx="0">
                  <c:v>AI</c:v>
                </c:pt>
                <c:pt idx="1">
                  <c:v>Cybersecurity</c:v>
                </c:pt>
                <c:pt idx="2">
                  <c:v>E-Commerce</c:v>
                </c:pt>
                <c:pt idx="3">
                  <c:v>EdTech</c:v>
                </c:pt>
                <c:pt idx="4">
                  <c:v>FinTech</c:v>
                </c:pt>
                <c:pt idx="5">
                  <c:v>Gaming</c:v>
                </c:pt>
                <c:pt idx="6">
                  <c:v>HealthTech</c:v>
                </c:pt>
                <c:pt idx="7">
                  <c:v>IoT</c:v>
                </c:pt>
              </c:strCache>
            </c:strRef>
          </c:cat>
          <c:val>
            <c:numRef>
              <c:f>'ES calculations'!$I$3:$I$11</c:f>
              <c:numCache>
                <c:formatCode>General</c:formatCode>
                <c:ptCount val="8"/>
                <c:pt idx="0">
                  <c:v>47</c:v>
                </c:pt>
                <c:pt idx="1">
                  <c:v>34</c:v>
                </c:pt>
                <c:pt idx="2">
                  <c:v>45</c:v>
                </c:pt>
                <c:pt idx="3">
                  <c:v>55</c:v>
                </c:pt>
                <c:pt idx="4">
                  <c:v>43</c:v>
                </c:pt>
                <c:pt idx="5">
                  <c:v>47</c:v>
                </c:pt>
                <c:pt idx="6">
                  <c:v>34</c:v>
                </c:pt>
                <c:pt idx="7">
                  <c:v>43</c:v>
                </c:pt>
              </c:numCache>
            </c:numRef>
          </c:val>
          <c:extLst>
            <c:ext xmlns:c16="http://schemas.microsoft.com/office/drawing/2014/chart" uri="{C3380CC4-5D6E-409C-BE32-E72D297353CC}">
              <c16:uniqueId val="{00000002-BB63-41CF-A473-0AE0A2AF8D7A}"/>
            </c:ext>
          </c:extLst>
        </c:ser>
        <c:dLbls>
          <c:dLblPos val="outEnd"/>
          <c:showLegendKey val="0"/>
          <c:showVal val="1"/>
          <c:showCatName val="0"/>
          <c:showSerName val="0"/>
          <c:showPercent val="0"/>
          <c:showBubbleSize val="0"/>
        </c:dLbls>
        <c:gapWidth val="219"/>
        <c:overlap val="-27"/>
        <c:axId val="2049709296"/>
        <c:axId val="2049709776"/>
      </c:barChart>
      <c:catAx>
        <c:axId val="20497092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Industry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49709776"/>
        <c:crosses val="autoZero"/>
        <c:auto val="1"/>
        <c:lblAlgn val="ctr"/>
        <c:lblOffset val="100"/>
        <c:noMultiLvlLbl val="0"/>
      </c:catAx>
      <c:valAx>
        <c:axId val="20497097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a:t>#</a:t>
                </a:r>
                <a:r>
                  <a:rPr lang="en-US" sz="1000" baseline="0"/>
                  <a:t> of Startups</a:t>
                </a:r>
                <a:endParaRPr lang="en-US" sz="1000"/>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49709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solidFill>
                  <a:schemeClr val="accent2"/>
                </a:solidFill>
              </a:rPr>
              <a:t>Valuation by</a:t>
            </a:r>
            <a:r>
              <a:rPr lang="en-US" sz="2000" baseline="0">
                <a:solidFill>
                  <a:schemeClr val="accent2"/>
                </a:solidFill>
              </a:rPr>
              <a:t> Statup Age</a:t>
            </a:r>
            <a:endParaRPr lang="en-US" sz="2000">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'TBI calculations'!$I$4</c:f>
              <c:strCache>
                <c:ptCount val="1"/>
                <c:pt idx="0">
                  <c:v>Valuation</c:v>
                </c:pt>
              </c:strCache>
            </c:strRef>
          </c:tx>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rgbClr val="FF0000"/>
                </a:solidFill>
                <a:prstDash val="sysDot"/>
              </a:ln>
              <a:effectLst/>
            </c:spPr>
            <c:trendlineType val="linear"/>
            <c:dispRSqr val="0"/>
            <c:dispEq val="0"/>
          </c:trendline>
          <c:xVal>
            <c:numRef>
              <c:f>'TBI calculations'!$H$5:$H$37</c:f>
              <c:numCache>
                <c:formatCode>General</c:formatCode>
                <c:ptCount val="33"/>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25</c:v>
                </c:pt>
                <c:pt idx="23">
                  <c:v>26</c:v>
                </c:pt>
                <c:pt idx="24">
                  <c:v>27</c:v>
                </c:pt>
                <c:pt idx="25">
                  <c:v>28</c:v>
                </c:pt>
                <c:pt idx="26">
                  <c:v>29</c:v>
                </c:pt>
                <c:pt idx="27">
                  <c:v>30</c:v>
                </c:pt>
                <c:pt idx="28">
                  <c:v>31</c:v>
                </c:pt>
                <c:pt idx="29">
                  <c:v>32</c:v>
                </c:pt>
                <c:pt idx="30">
                  <c:v>33</c:v>
                </c:pt>
                <c:pt idx="31">
                  <c:v>34</c:v>
                </c:pt>
                <c:pt idx="32">
                  <c:v>35</c:v>
                </c:pt>
              </c:numCache>
            </c:numRef>
          </c:xVal>
          <c:yVal>
            <c:numRef>
              <c:f>'TBI calculations'!$I$5:$I$37</c:f>
              <c:numCache>
                <c:formatCode>General</c:formatCode>
                <c:ptCount val="33"/>
                <c:pt idx="0">
                  <c:v>9350720000</c:v>
                </c:pt>
                <c:pt idx="1">
                  <c:v>23268040000</c:v>
                </c:pt>
                <c:pt idx="2">
                  <c:v>22305450000</c:v>
                </c:pt>
                <c:pt idx="3">
                  <c:v>23111520000</c:v>
                </c:pt>
                <c:pt idx="4">
                  <c:v>11800210000</c:v>
                </c:pt>
                <c:pt idx="5">
                  <c:v>23248370000</c:v>
                </c:pt>
                <c:pt idx="6">
                  <c:v>22171270000</c:v>
                </c:pt>
                <c:pt idx="7">
                  <c:v>20575420000</c:v>
                </c:pt>
                <c:pt idx="8">
                  <c:v>20532540000</c:v>
                </c:pt>
                <c:pt idx="9">
                  <c:v>12122860000</c:v>
                </c:pt>
                <c:pt idx="10">
                  <c:v>20029140000</c:v>
                </c:pt>
                <c:pt idx="11">
                  <c:v>30542310000</c:v>
                </c:pt>
                <c:pt idx="12">
                  <c:v>9072010000</c:v>
                </c:pt>
                <c:pt idx="13">
                  <c:v>25561080000</c:v>
                </c:pt>
                <c:pt idx="14">
                  <c:v>31400640000</c:v>
                </c:pt>
                <c:pt idx="15">
                  <c:v>13689790000</c:v>
                </c:pt>
                <c:pt idx="16">
                  <c:v>24881660000</c:v>
                </c:pt>
                <c:pt idx="17">
                  <c:v>31155070000</c:v>
                </c:pt>
                <c:pt idx="18">
                  <c:v>19236110000</c:v>
                </c:pt>
                <c:pt idx="19">
                  <c:v>32405780000</c:v>
                </c:pt>
                <c:pt idx="20">
                  <c:v>23216850000</c:v>
                </c:pt>
                <c:pt idx="21">
                  <c:v>18563950000</c:v>
                </c:pt>
                <c:pt idx="22">
                  <c:v>30379470000</c:v>
                </c:pt>
                <c:pt idx="23">
                  <c:v>14800030000</c:v>
                </c:pt>
                <c:pt idx="24">
                  <c:v>22743300000</c:v>
                </c:pt>
                <c:pt idx="25">
                  <c:v>12363250000</c:v>
                </c:pt>
                <c:pt idx="26">
                  <c:v>16837450000</c:v>
                </c:pt>
                <c:pt idx="27">
                  <c:v>29054310000</c:v>
                </c:pt>
                <c:pt idx="28">
                  <c:v>13549410000</c:v>
                </c:pt>
                <c:pt idx="29">
                  <c:v>29739260000</c:v>
                </c:pt>
                <c:pt idx="30">
                  <c:v>12657300000</c:v>
                </c:pt>
                <c:pt idx="31">
                  <c:v>21493130000</c:v>
                </c:pt>
                <c:pt idx="32">
                  <c:v>14046890000</c:v>
                </c:pt>
              </c:numCache>
            </c:numRef>
          </c:yVal>
          <c:smooth val="0"/>
          <c:extLst>
            <c:ext xmlns:c16="http://schemas.microsoft.com/office/drawing/2014/chart" uri="{C3380CC4-5D6E-409C-BE32-E72D297353CC}">
              <c16:uniqueId val="{00000002-E104-4F31-B098-3A4E5DC38064}"/>
            </c:ext>
          </c:extLst>
        </c:ser>
        <c:dLbls>
          <c:showLegendKey val="0"/>
          <c:showVal val="0"/>
          <c:showCatName val="0"/>
          <c:showSerName val="0"/>
          <c:showPercent val="0"/>
          <c:showBubbleSize val="0"/>
        </c:dLbls>
        <c:axId val="1205433423"/>
        <c:axId val="2083541119"/>
      </c:scatterChart>
      <c:valAx>
        <c:axId val="120543342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Startup</a:t>
                </a:r>
                <a:r>
                  <a:rPr lang="en-US" baseline="0"/>
                  <a:t> Age (Years)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083541119"/>
        <c:crosses val="autoZero"/>
        <c:crossBetween val="midCat"/>
      </c:valAx>
      <c:valAx>
        <c:axId val="2083541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quot;B&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205433423"/>
        <c:crosses val="autoZero"/>
        <c:crossBetween val="midCat"/>
      </c:valAx>
      <c:spPr>
        <a:noFill/>
        <a:ln>
          <a:noFill/>
        </a:ln>
        <a:effectLst/>
      </c:spPr>
    </c:plotArea>
    <c:plotVisOnly val="1"/>
    <c:dispBlanksAs val="gap"/>
    <c:showDLblsOverMax val="0"/>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solidFill>
                  <a:schemeClr val="accent2"/>
                </a:solidFill>
              </a:rPr>
              <a:t>Funding</a:t>
            </a:r>
            <a:r>
              <a:rPr lang="en-US" sz="2000" baseline="0">
                <a:solidFill>
                  <a:schemeClr val="accent2"/>
                </a:solidFill>
              </a:rPr>
              <a:t> Amount by Startup Age</a:t>
            </a:r>
            <a:endParaRPr lang="en-US" sz="2000">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'TBI calculations'!$F$4</c:f>
              <c:strCache>
                <c:ptCount val="1"/>
                <c:pt idx="0">
                  <c:v>Funding Amount</c:v>
                </c:pt>
              </c:strCache>
            </c:strRef>
          </c:tx>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rgbClr val="FF0000"/>
                </a:solidFill>
                <a:prstDash val="sysDot"/>
              </a:ln>
              <a:effectLst/>
            </c:spPr>
            <c:trendlineType val="linear"/>
            <c:dispRSqr val="0"/>
            <c:dispEq val="0"/>
          </c:trendline>
          <c:xVal>
            <c:numRef>
              <c:f>'TBI calculations'!$E$5:$E$37</c:f>
              <c:numCache>
                <c:formatCode>General</c:formatCode>
                <c:ptCount val="33"/>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25</c:v>
                </c:pt>
                <c:pt idx="23">
                  <c:v>26</c:v>
                </c:pt>
                <c:pt idx="24">
                  <c:v>27</c:v>
                </c:pt>
                <c:pt idx="25">
                  <c:v>28</c:v>
                </c:pt>
                <c:pt idx="26">
                  <c:v>29</c:v>
                </c:pt>
                <c:pt idx="27">
                  <c:v>30</c:v>
                </c:pt>
                <c:pt idx="28">
                  <c:v>31</c:v>
                </c:pt>
                <c:pt idx="29">
                  <c:v>32</c:v>
                </c:pt>
                <c:pt idx="30">
                  <c:v>33</c:v>
                </c:pt>
                <c:pt idx="31">
                  <c:v>34</c:v>
                </c:pt>
                <c:pt idx="32">
                  <c:v>35</c:v>
                </c:pt>
              </c:numCache>
            </c:numRef>
          </c:xVal>
          <c:yVal>
            <c:numRef>
              <c:f>'TBI calculations'!$F$5:$F$37</c:f>
              <c:numCache>
                <c:formatCode>General</c:formatCode>
                <c:ptCount val="33"/>
                <c:pt idx="0">
                  <c:v>803630000</c:v>
                </c:pt>
                <c:pt idx="1">
                  <c:v>2806460000</c:v>
                </c:pt>
                <c:pt idx="2">
                  <c:v>2604750000</c:v>
                </c:pt>
                <c:pt idx="3">
                  <c:v>2140130000</c:v>
                </c:pt>
                <c:pt idx="4">
                  <c:v>1674970000</c:v>
                </c:pt>
                <c:pt idx="5">
                  <c:v>2316420000</c:v>
                </c:pt>
                <c:pt idx="6">
                  <c:v>2459630000</c:v>
                </c:pt>
                <c:pt idx="7">
                  <c:v>2378620000</c:v>
                </c:pt>
                <c:pt idx="8">
                  <c:v>2470040000</c:v>
                </c:pt>
                <c:pt idx="9">
                  <c:v>1529130000</c:v>
                </c:pt>
                <c:pt idx="10">
                  <c:v>2733390000</c:v>
                </c:pt>
                <c:pt idx="11">
                  <c:v>2966110000</c:v>
                </c:pt>
                <c:pt idx="12">
                  <c:v>1056280000</c:v>
                </c:pt>
                <c:pt idx="13">
                  <c:v>2666110000</c:v>
                </c:pt>
                <c:pt idx="14">
                  <c:v>3407410000</c:v>
                </c:pt>
                <c:pt idx="15">
                  <c:v>1783690000</c:v>
                </c:pt>
                <c:pt idx="16">
                  <c:v>2635240000</c:v>
                </c:pt>
                <c:pt idx="17">
                  <c:v>3570800000</c:v>
                </c:pt>
                <c:pt idx="18">
                  <c:v>1866960000</c:v>
                </c:pt>
                <c:pt idx="19">
                  <c:v>3377020000</c:v>
                </c:pt>
                <c:pt idx="20">
                  <c:v>2626060000</c:v>
                </c:pt>
                <c:pt idx="21">
                  <c:v>2166160000</c:v>
                </c:pt>
                <c:pt idx="22">
                  <c:v>3005290000</c:v>
                </c:pt>
                <c:pt idx="23">
                  <c:v>1888670000</c:v>
                </c:pt>
                <c:pt idx="24">
                  <c:v>2221160000</c:v>
                </c:pt>
                <c:pt idx="25">
                  <c:v>1250300000</c:v>
                </c:pt>
                <c:pt idx="26">
                  <c:v>1913340000</c:v>
                </c:pt>
                <c:pt idx="27">
                  <c:v>2899950000</c:v>
                </c:pt>
                <c:pt idx="28">
                  <c:v>1813180000</c:v>
                </c:pt>
                <c:pt idx="29">
                  <c:v>3376080000</c:v>
                </c:pt>
                <c:pt idx="30">
                  <c:v>1502030000</c:v>
                </c:pt>
                <c:pt idx="31">
                  <c:v>2534870000</c:v>
                </c:pt>
                <c:pt idx="32">
                  <c:v>1884500000</c:v>
                </c:pt>
              </c:numCache>
            </c:numRef>
          </c:yVal>
          <c:smooth val="0"/>
          <c:extLst>
            <c:ext xmlns:c16="http://schemas.microsoft.com/office/drawing/2014/chart" uri="{C3380CC4-5D6E-409C-BE32-E72D297353CC}">
              <c16:uniqueId val="{00000002-99EA-4DF8-BB0B-4D6504B79F33}"/>
            </c:ext>
          </c:extLst>
        </c:ser>
        <c:dLbls>
          <c:showLegendKey val="0"/>
          <c:showVal val="0"/>
          <c:showCatName val="0"/>
          <c:showSerName val="0"/>
          <c:showPercent val="0"/>
          <c:showBubbleSize val="0"/>
        </c:dLbls>
        <c:axId val="868870591"/>
        <c:axId val="1021595391"/>
      </c:scatterChart>
      <c:valAx>
        <c:axId val="8688705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Startup Age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021595391"/>
        <c:crosses val="autoZero"/>
        <c:crossBetween val="midCat"/>
      </c:valAx>
      <c:valAx>
        <c:axId val="10215953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Funding</a:t>
                </a:r>
                <a:r>
                  <a:rPr lang="en-US" baseline="0"/>
                  <a:t> Amount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quot;B&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68870591"/>
        <c:crosses val="autoZero"/>
        <c:crossBetween val="midCat"/>
      </c:valAx>
      <c:spPr>
        <a:noFill/>
        <a:ln>
          <a:noFill/>
        </a:ln>
        <a:effectLst/>
      </c:spPr>
    </c:plotArea>
    <c:plotVisOnly val="1"/>
    <c:dispBlanksAs val="gap"/>
    <c:showDLblsOverMax val="0"/>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solidFill>
                  <a:schemeClr val="accent2"/>
                </a:solidFill>
              </a:rPr>
              <a:t>Revenue Growth rate by Startup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'TBI calculations'!$O$5</c:f>
              <c:strCache>
                <c:ptCount val="1"/>
                <c:pt idx="0">
                  <c:v>Revenue Growth</c:v>
                </c:pt>
              </c:strCache>
            </c:strRef>
          </c:tx>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rgbClr val="FF0000"/>
                </a:solidFill>
                <a:prstDash val="sysDot"/>
              </a:ln>
              <a:effectLst/>
            </c:spPr>
            <c:trendlineType val="linear"/>
            <c:dispRSqr val="0"/>
            <c:dispEq val="0"/>
          </c:trendline>
          <c:xVal>
            <c:numRef>
              <c:f>'TBI calculations'!$N$6:$N$38</c:f>
              <c:numCache>
                <c:formatCode>General</c:formatCode>
                <c:ptCount val="33"/>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25</c:v>
                </c:pt>
                <c:pt idx="23">
                  <c:v>26</c:v>
                </c:pt>
                <c:pt idx="24">
                  <c:v>27</c:v>
                </c:pt>
                <c:pt idx="25">
                  <c:v>28</c:v>
                </c:pt>
                <c:pt idx="26">
                  <c:v>29</c:v>
                </c:pt>
                <c:pt idx="27">
                  <c:v>30</c:v>
                </c:pt>
                <c:pt idx="28">
                  <c:v>31</c:v>
                </c:pt>
                <c:pt idx="29">
                  <c:v>32</c:v>
                </c:pt>
                <c:pt idx="30">
                  <c:v>33</c:v>
                </c:pt>
                <c:pt idx="31">
                  <c:v>34</c:v>
                </c:pt>
                <c:pt idx="32">
                  <c:v>35</c:v>
                </c:pt>
              </c:numCache>
            </c:numRef>
          </c:xVal>
          <c:yVal>
            <c:numRef>
              <c:f>'TBI calculations'!$O$6:$O$38</c:f>
              <c:numCache>
                <c:formatCode>"$"0.00,,"M"</c:formatCode>
                <c:ptCount val="33"/>
                <c:pt idx="0">
                  <c:v>140243333.33333334</c:v>
                </c:pt>
                <c:pt idx="1">
                  <c:v>196387500</c:v>
                </c:pt>
                <c:pt idx="2">
                  <c:v>162692000</c:v>
                </c:pt>
                <c:pt idx="3">
                  <c:v>126760000</c:v>
                </c:pt>
                <c:pt idx="4">
                  <c:v>93924285.714285716</c:v>
                </c:pt>
                <c:pt idx="5">
                  <c:v>93665000</c:v>
                </c:pt>
                <c:pt idx="6">
                  <c:v>74388888.888888896</c:v>
                </c:pt>
                <c:pt idx="7">
                  <c:v>82195000</c:v>
                </c:pt>
                <c:pt idx="8">
                  <c:v>59560909.090909094</c:v>
                </c:pt>
                <c:pt idx="9">
                  <c:v>55938333.333333336</c:v>
                </c:pt>
                <c:pt idx="10">
                  <c:v>67023076.92307692</c:v>
                </c:pt>
                <c:pt idx="11">
                  <c:v>47754285.714285716</c:v>
                </c:pt>
                <c:pt idx="12">
                  <c:v>38628000</c:v>
                </c:pt>
                <c:pt idx="13">
                  <c:v>54270000</c:v>
                </c:pt>
                <c:pt idx="14">
                  <c:v>44420000</c:v>
                </c:pt>
                <c:pt idx="15">
                  <c:v>34433888.888888888</c:v>
                </c:pt>
                <c:pt idx="16">
                  <c:v>39564736.842105262</c:v>
                </c:pt>
                <c:pt idx="17">
                  <c:v>44511500</c:v>
                </c:pt>
                <c:pt idx="18">
                  <c:v>31940000</c:v>
                </c:pt>
                <c:pt idx="19">
                  <c:v>48695909.090909094</c:v>
                </c:pt>
                <c:pt idx="20">
                  <c:v>31060869.565217391</c:v>
                </c:pt>
                <c:pt idx="21">
                  <c:v>33761250</c:v>
                </c:pt>
                <c:pt idx="22">
                  <c:v>44103600</c:v>
                </c:pt>
                <c:pt idx="23">
                  <c:v>26739615.384615384</c:v>
                </c:pt>
                <c:pt idx="24">
                  <c:v>29021111.111111112</c:v>
                </c:pt>
                <c:pt idx="25">
                  <c:v>19457857.142857142</c:v>
                </c:pt>
                <c:pt idx="26">
                  <c:v>26411379.310344826</c:v>
                </c:pt>
                <c:pt idx="27">
                  <c:v>29774666.666666668</c:v>
                </c:pt>
                <c:pt idx="28">
                  <c:v>21825483.870967742</c:v>
                </c:pt>
                <c:pt idx="29">
                  <c:v>31314687.5</c:v>
                </c:pt>
                <c:pt idx="30">
                  <c:v>13508787.878787879</c:v>
                </c:pt>
                <c:pt idx="31">
                  <c:v>26494411.764705881</c:v>
                </c:pt>
                <c:pt idx="32">
                  <c:v>16400857.142857144</c:v>
                </c:pt>
              </c:numCache>
            </c:numRef>
          </c:yVal>
          <c:smooth val="0"/>
          <c:extLst>
            <c:ext xmlns:c16="http://schemas.microsoft.com/office/drawing/2014/chart" uri="{C3380CC4-5D6E-409C-BE32-E72D297353CC}">
              <c16:uniqueId val="{00000000-4794-4528-9FA4-FC0BBFF79F73}"/>
            </c:ext>
          </c:extLst>
        </c:ser>
        <c:dLbls>
          <c:showLegendKey val="0"/>
          <c:showVal val="0"/>
          <c:showCatName val="0"/>
          <c:showSerName val="0"/>
          <c:showPercent val="0"/>
          <c:showBubbleSize val="0"/>
        </c:dLbls>
        <c:axId val="382409376"/>
        <c:axId val="382409856"/>
      </c:scatterChart>
      <c:valAx>
        <c:axId val="3824093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Startup Age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409856"/>
        <c:crosses val="autoZero"/>
        <c:crossBetween val="midCat"/>
      </c:valAx>
      <c:valAx>
        <c:axId val="382409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Revenue</a:t>
                </a:r>
                <a:r>
                  <a:rPr lang="en-US" baseline="0"/>
                  <a:t> Growth Rate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quot;M&quot;"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409376"/>
        <c:crosses val="autoZero"/>
        <c:crossBetween val="midCat"/>
      </c:valAx>
      <c:spPr>
        <a:noFill/>
        <a:ln>
          <a:noFill/>
        </a:ln>
        <a:effectLst/>
      </c:spPr>
    </c:plotArea>
    <c:plotVisOnly val="1"/>
    <c:dispBlanksAs val="gap"/>
    <c:showDLblsOverMax val="0"/>
  </c:chart>
  <c:spPr>
    <a:solidFill>
      <a:schemeClr val="bg1"/>
    </a:solidFill>
    <a:ln w="381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4" Type="http://schemas.openxmlformats.org/officeDocument/2006/relationships/chart" Target="../charts/chart1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2</xdr:col>
      <xdr:colOff>371476</xdr:colOff>
      <xdr:row>6</xdr:row>
      <xdr:rowOff>28575</xdr:rowOff>
    </xdr:from>
    <xdr:to>
      <xdr:col>8</xdr:col>
      <xdr:colOff>247649</xdr:colOff>
      <xdr:row>31</xdr:row>
      <xdr:rowOff>180975</xdr:rowOff>
    </xdr:to>
    <xdr:graphicFrame macro="">
      <xdr:nvGraphicFramePr>
        <xdr:cNvPr id="2" name="Chart 1">
          <a:extLst>
            <a:ext uri="{FF2B5EF4-FFF2-40B4-BE49-F238E27FC236}">
              <a16:creationId xmlns:a16="http://schemas.microsoft.com/office/drawing/2014/main" id="{743B97C3-25D7-3AB5-22CA-CB4ACCF717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xdr:colOff>
      <xdr:row>3</xdr:row>
      <xdr:rowOff>28575</xdr:rowOff>
    </xdr:from>
    <xdr:to>
      <xdr:col>18</xdr:col>
      <xdr:colOff>352425</xdr:colOff>
      <xdr:row>17</xdr:row>
      <xdr:rowOff>1</xdr:rowOff>
    </xdr:to>
    <xdr:graphicFrame macro="">
      <xdr:nvGraphicFramePr>
        <xdr:cNvPr id="4" name="Chart 3">
          <a:extLst>
            <a:ext uri="{FF2B5EF4-FFF2-40B4-BE49-F238E27FC236}">
              <a16:creationId xmlns:a16="http://schemas.microsoft.com/office/drawing/2014/main" id="{0AA305F2-4B5A-8869-7F8C-93F2249B51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8</xdr:col>
      <xdr:colOff>400050</xdr:colOff>
      <xdr:row>3</xdr:row>
      <xdr:rowOff>9525</xdr:rowOff>
    </xdr:from>
    <xdr:to>
      <xdr:col>11</xdr:col>
      <xdr:colOff>19050</xdr:colOff>
      <xdr:row>13</xdr:row>
      <xdr:rowOff>85725</xdr:rowOff>
    </xdr:to>
    <mc:AlternateContent xmlns:mc="http://schemas.openxmlformats.org/markup-compatibility/2006" xmlns:a14="http://schemas.microsoft.com/office/drawing/2010/main">
      <mc:Choice Requires="a14">
        <xdr:graphicFrame macro="">
          <xdr:nvGraphicFramePr>
            <xdr:cNvPr id="5" name="Industry">
              <a:extLst>
                <a:ext uri="{FF2B5EF4-FFF2-40B4-BE49-F238E27FC236}">
                  <a16:creationId xmlns:a16="http://schemas.microsoft.com/office/drawing/2014/main" id="{167172EF-A0C4-FABE-386D-3D8106CAF69E}"/>
                </a:ext>
              </a:extLst>
            </xdr:cNvPr>
            <xdr:cNvGraphicFramePr/>
          </xdr:nvGraphicFramePr>
          <xdr:xfrm>
            <a:off x="0" y="0"/>
            <a:ext cx="0" cy="0"/>
          </xdr:xfrm>
          <a:graphic>
            <a:graphicData uri="http://schemas.microsoft.com/office/drawing/2010/slicer">
              <sle:slicer xmlns:sle="http://schemas.microsoft.com/office/drawing/2010/slicer" name="Industry"/>
            </a:graphicData>
          </a:graphic>
        </xdr:graphicFrame>
      </mc:Choice>
      <mc:Fallback xmlns="">
        <xdr:sp macro="" textlink="">
          <xdr:nvSpPr>
            <xdr:cNvPr id="0" name=""/>
            <xdr:cNvSpPr>
              <a:spLocks noTextEdit="1"/>
            </xdr:cNvSpPr>
          </xdr:nvSpPr>
          <xdr:spPr>
            <a:xfrm>
              <a:off x="8734425" y="590550"/>
              <a:ext cx="1447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11</xdr:col>
      <xdr:colOff>47625</xdr:colOff>
      <xdr:row>17</xdr:row>
      <xdr:rowOff>1</xdr:rowOff>
    </xdr:from>
    <xdr:to>
      <xdr:col>18</xdr:col>
      <xdr:colOff>352425</xdr:colOff>
      <xdr:row>31</xdr:row>
      <xdr:rowOff>180975</xdr:rowOff>
    </xdr:to>
    <xdr:graphicFrame macro="">
      <xdr:nvGraphicFramePr>
        <xdr:cNvPr id="3" name="Chart 2">
          <a:extLst>
            <a:ext uri="{FF2B5EF4-FFF2-40B4-BE49-F238E27FC236}">
              <a16:creationId xmlns:a16="http://schemas.microsoft.com/office/drawing/2014/main" id="{597905AB-69CB-2479-0FE9-667337BEFE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438150</xdr:colOff>
      <xdr:row>17</xdr:row>
      <xdr:rowOff>28575</xdr:rowOff>
    </xdr:from>
    <xdr:to>
      <xdr:col>11</xdr:col>
      <xdr:colOff>28575</xdr:colOff>
      <xdr:row>26</xdr:row>
      <xdr:rowOff>180975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CA50152F-650A-42F3-F636-F67CB5F41D5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8924925" y="3295650"/>
              <a:ext cx="1266825" cy="1866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38100</xdr:colOff>
      <xdr:row>3</xdr:row>
      <xdr:rowOff>1</xdr:rowOff>
    </xdr:from>
    <xdr:to>
      <xdr:col>2</xdr:col>
      <xdr:colOff>352425</xdr:colOff>
      <xdr:row>13</xdr:row>
      <xdr:rowOff>76201</xdr:rowOff>
    </xdr:to>
    <mc:AlternateContent xmlns:mc="http://schemas.openxmlformats.org/markup-compatibility/2006" xmlns:a14="http://schemas.microsoft.com/office/drawing/2010/main">
      <mc:Choice Requires="a14">
        <xdr:graphicFrame macro="">
          <xdr:nvGraphicFramePr>
            <xdr:cNvPr id="7" name="Industry 1">
              <a:extLst>
                <a:ext uri="{FF2B5EF4-FFF2-40B4-BE49-F238E27FC236}">
                  <a16:creationId xmlns:a16="http://schemas.microsoft.com/office/drawing/2014/main" id="{36D23D97-4F8F-4E6A-8116-CB3C2935FD5B}"/>
                </a:ext>
              </a:extLst>
            </xdr:cNvPr>
            <xdr:cNvGraphicFramePr/>
          </xdr:nvGraphicFramePr>
          <xdr:xfrm>
            <a:off x="0" y="0"/>
            <a:ext cx="0" cy="0"/>
          </xdr:xfrm>
          <a:graphic>
            <a:graphicData uri="http://schemas.microsoft.com/office/drawing/2010/slicer">
              <sle:slicer xmlns:sle="http://schemas.microsoft.com/office/drawing/2010/slicer" name="Industry 1"/>
            </a:graphicData>
          </a:graphic>
        </xdr:graphicFrame>
      </mc:Choice>
      <mc:Fallback xmlns="">
        <xdr:sp macro="" textlink="">
          <xdr:nvSpPr>
            <xdr:cNvPr id="0" name=""/>
            <xdr:cNvSpPr>
              <a:spLocks noTextEdit="1"/>
            </xdr:cNvSpPr>
          </xdr:nvSpPr>
          <xdr:spPr>
            <a:xfrm>
              <a:off x="962025" y="581026"/>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38100</xdr:colOff>
      <xdr:row>18</xdr:row>
      <xdr:rowOff>28575</xdr:rowOff>
    </xdr:from>
    <xdr:to>
      <xdr:col>2</xdr:col>
      <xdr:colOff>352425</xdr:colOff>
      <xdr:row>27</xdr:row>
      <xdr:rowOff>142875</xdr:rowOff>
    </xdr:to>
    <mc:AlternateContent xmlns:mc="http://schemas.openxmlformats.org/markup-compatibility/2006" xmlns:a14="http://schemas.microsoft.com/office/drawing/2010/main">
      <mc:Choice Requires="a14">
        <xdr:graphicFrame macro="">
          <xdr:nvGraphicFramePr>
            <xdr:cNvPr id="8" name="Region 2">
              <a:extLst>
                <a:ext uri="{FF2B5EF4-FFF2-40B4-BE49-F238E27FC236}">
                  <a16:creationId xmlns:a16="http://schemas.microsoft.com/office/drawing/2014/main" id="{904B7080-2B7F-434F-8B8C-CBCC0F0079CC}"/>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962025" y="3486150"/>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2.xml><?xml version="1.0" encoding="utf-8"?>
<xdr:wsDr xmlns:xdr="http://schemas.openxmlformats.org/drawingml/2006/spreadsheetDrawing" xmlns:a="http://schemas.openxmlformats.org/drawingml/2006/main">
  <xdr:twoCellAnchor>
    <xdr:from>
      <xdr:col>3</xdr:col>
      <xdr:colOff>257175</xdr:colOff>
      <xdr:row>6</xdr:row>
      <xdr:rowOff>133350</xdr:rowOff>
    </xdr:from>
    <xdr:to>
      <xdr:col>15</xdr:col>
      <xdr:colOff>352424</xdr:colOff>
      <xdr:row>33</xdr:row>
      <xdr:rowOff>152400</xdr:rowOff>
    </xdr:to>
    <xdr:graphicFrame macro="">
      <xdr:nvGraphicFramePr>
        <xdr:cNvPr id="2" name="Chart 1">
          <a:extLst>
            <a:ext uri="{FF2B5EF4-FFF2-40B4-BE49-F238E27FC236}">
              <a16:creationId xmlns:a16="http://schemas.microsoft.com/office/drawing/2014/main" id="{F2879954-221B-4934-B58A-BDDF1E28BD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190500</xdr:colOff>
      <xdr:row>7</xdr:row>
      <xdr:rowOff>66675</xdr:rowOff>
    </xdr:from>
    <xdr:to>
      <xdr:col>3</xdr:col>
      <xdr:colOff>228600</xdr:colOff>
      <xdr:row>16</xdr:row>
      <xdr:rowOff>171450</xdr:rowOff>
    </xdr:to>
    <mc:AlternateContent xmlns:mc="http://schemas.openxmlformats.org/markup-compatibility/2006" xmlns:a14="http://schemas.microsoft.com/office/drawing/2010/main">
      <mc:Choice Requires="a14">
        <xdr:graphicFrame macro="">
          <xdr:nvGraphicFramePr>
            <xdr:cNvPr id="3" name="Region 1">
              <a:extLst>
                <a:ext uri="{FF2B5EF4-FFF2-40B4-BE49-F238E27FC236}">
                  <a16:creationId xmlns:a16="http://schemas.microsoft.com/office/drawing/2014/main" id="{D076FDC4-73D2-4C5B-A416-651C24B1AD34}"/>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00100" y="1409700"/>
              <a:ext cx="1257300" cy="1819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190500</xdr:colOff>
      <xdr:row>16</xdr:row>
      <xdr:rowOff>161924</xdr:rowOff>
    </xdr:from>
    <xdr:to>
      <xdr:col>3</xdr:col>
      <xdr:colOff>228600</xdr:colOff>
      <xdr:row>31</xdr:row>
      <xdr:rowOff>0</xdr:rowOff>
    </xdr:to>
    <mc:AlternateContent xmlns:mc="http://schemas.openxmlformats.org/markup-compatibility/2006" xmlns:a14="http://schemas.microsoft.com/office/drawing/2010/main">
      <mc:Choice Requires="a14">
        <xdr:graphicFrame macro="">
          <xdr:nvGraphicFramePr>
            <xdr:cNvPr id="4" name="Industry 2">
              <a:extLst>
                <a:ext uri="{FF2B5EF4-FFF2-40B4-BE49-F238E27FC236}">
                  <a16:creationId xmlns:a16="http://schemas.microsoft.com/office/drawing/2014/main" id="{EE96084C-77FE-41C5-948D-B26150A8FB66}"/>
                </a:ext>
              </a:extLst>
            </xdr:cNvPr>
            <xdr:cNvGraphicFramePr/>
          </xdr:nvGraphicFramePr>
          <xdr:xfrm>
            <a:off x="0" y="0"/>
            <a:ext cx="0" cy="0"/>
          </xdr:xfrm>
          <a:graphic>
            <a:graphicData uri="http://schemas.microsoft.com/office/drawing/2010/slicer">
              <sle:slicer xmlns:sle="http://schemas.microsoft.com/office/drawing/2010/slicer" name="Industry 2"/>
            </a:graphicData>
          </a:graphic>
        </xdr:graphicFrame>
      </mc:Choice>
      <mc:Fallback xmlns="">
        <xdr:sp macro="" textlink="">
          <xdr:nvSpPr>
            <xdr:cNvPr id="0" name=""/>
            <xdr:cNvSpPr>
              <a:spLocks noTextEdit="1"/>
            </xdr:cNvSpPr>
          </xdr:nvSpPr>
          <xdr:spPr>
            <a:xfrm>
              <a:off x="800100" y="3219450"/>
              <a:ext cx="12573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17</xdr:col>
      <xdr:colOff>476250</xdr:colOff>
      <xdr:row>4</xdr:row>
      <xdr:rowOff>57150</xdr:rowOff>
    </xdr:from>
    <xdr:to>
      <xdr:col>27</xdr:col>
      <xdr:colOff>9525</xdr:colOff>
      <xdr:row>18</xdr:row>
      <xdr:rowOff>176214</xdr:rowOff>
    </xdr:to>
    <xdr:graphicFrame macro="">
      <xdr:nvGraphicFramePr>
        <xdr:cNvPr id="5" name="Chart 4">
          <a:extLst>
            <a:ext uri="{FF2B5EF4-FFF2-40B4-BE49-F238E27FC236}">
              <a16:creationId xmlns:a16="http://schemas.microsoft.com/office/drawing/2014/main" id="{CC92C38C-5F9B-4910-9CA5-DADB94FDE5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15</xdr:col>
      <xdr:colOff>476250</xdr:colOff>
      <xdr:row>14</xdr:row>
      <xdr:rowOff>161925</xdr:rowOff>
    </xdr:from>
    <xdr:to>
      <xdr:col>17</xdr:col>
      <xdr:colOff>447675</xdr:colOff>
      <xdr:row>24</xdr:row>
      <xdr:rowOff>104775</xdr:rowOff>
    </xdr:to>
    <mc:AlternateContent xmlns:mc="http://schemas.openxmlformats.org/markup-compatibility/2006" xmlns:a14="http://schemas.microsoft.com/office/drawing/2010/main">
      <mc:Choice Requires="a14">
        <xdr:graphicFrame macro="">
          <xdr:nvGraphicFramePr>
            <xdr:cNvPr id="6" name="Region 3">
              <a:extLst>
                <a:ext uri="{FF2B5EF4-FFF2-40B4-BE49-F238E27FC236}">
                  <a16:creationId xmlns:a16="http://schemas.microsoft.com/office/drawing/2014/main" id="{9F3CF211-72A7-41E9-9F00-7C6228D9E976}"/>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9620250" y="2838450"/>
              <a:ext cx="1190625" cy="1847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17</xdr:col>
      <xdr:colOff>476250</xdr:colOff>
      <xdr:row>19</xdr:row>
      <xdr:rowOff>9525</xdr:rowOff>
    </xdr:from>
    <xdr:to>
      <xdr:col>27</xdr:col>
      <xdr:colOff>0</xdr:colOff>
      <xdr:row>35</xdr:row>
      <xdr:rowOff>33338</xdr:rowOff>
    </xdr:to>
    <xdr:graphicFrame macro="">
      <xdr:nvGraphicFramePr>
        <xdr:cNvPr id="7" name="Chart 6">
          <a:extLst>
            <a:ext uri="{FF2B5EF4-FFF2-40B4-BE49-F238E27FC236}">
              <a16:creationId xmlns:a16="http://schemas.microsoft.com/office/drawing/2014/main" id="{05735E77-2F4E-4589-8905-F09B85FEF7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304800</xdr:colOff>
      <xdr:row>3</xdr:row>
      <xdr:rowOff>104775</xdr:rowOff>
    </xdr:from>
    <xdr:to>
      <xdr:col>11</xdr:col>
      <xdr:colOff>581025</xdr:colOff>
      <xdr:row>20</xdr:row>
      <xdr:rowOff>4762</xdr:rowOff>
    </xdr:to>
    <xdr:graphicFrame macro="">
      <xdr:nvGraphicFramePr>
        <xdr:cNvPr id="2" name="Chart 1">
          <a:extLst>
            <a:ext uri="{FF2B5EF4-FFF2-40B4-BE49-F238E27FC236}">
              <a16:creationId xmlns:a16="http://schemas.microsoft.com/office/drawing/2014/main" id="{AAF119F7-053F-4878-8D4E-98A1805EB3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123825</xdr:colOff>
      <xdr:row>3</xdr:row>
      <xdr:rowOff>94192</xdr:rowOff>
    </xdr:from>
    <xdr:to>
      <xdr:col>3</xdr:col>
      <xdr:colOff>276225</xdr:colOff>
      <xdr:row>13</xdr:row>
      <xdr:rowOff>8467</xdr:rowOff>
    </xdr:to>
    <mc:AlternateContent xmlns:mc="http://schemas.openxmlformats.org/markup-compatibility/2006" xmlns:a14="http://schemas.microsoft.com/office/drawing/2010/main">
      <mc:Choice Requires="a14">
        <xdr:graphicFrame macro="">
          <xdr:nvGraphicFramePr>
            <xdr:cNvPr id="3" name="Region 4">
              <a:extLst>
                <a:ext uri="{FF2B5EF4-FFF2-40B4-BE49-F238E27FC236}">
                  <a16:creationId xmlns:a16="http://schemas.microsoft.com/office/drawing/2014/main" id="{EDE852A8-AF5E-417B-805F-8CB42F0ADB0D}"/>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733425" y="676275"/>
              <a:ext cx="1371600" cy="1819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323850</xdr:colOff>
      <xdr:row>20</xdr:row>
      <xdr:rowOff>0</xdr:rowOff>
    </xdr:from>
    <xdr:to>
      <xdr:col>21</xdr:col>
      <xdr:colOff>171450</xdr:colOff>
      <xdr:row>37</xdr:row>
      <xdr:rowOff>138113</xdr:rowOff>
    </xdr:to>
    <xdr:graphicFrame macro="">
      <xdr:nvGraphicFramePr>
        <xdr:cNvPr id="4" name="Chart 3">
          <a:extLst>
            <a:ext uri="{FF2B5EF4-FFF2-40B4-BE49-F238E27FC236}">
              <a16:creationId xmlns:a16="http://schemas.microsoft.com/office/drawing/2014/main" id="{E52F6EC0-7818-4268-94C3-E95BF6A2FF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104775</xdr:colOff>
      <xdr:row>21</xdr:row>
      <xdr:rowOff>27517</xdr:rowOff>
    </xdr:from>
    <xdr:to>
      <xdr:col>4</xdr:col>
      <xdr:colOff>276225</xdr:colOff>
      <xdr:row>30</xdr:row>
      <xdr:rowOff>179917</xdr:rowOff>
    </xdr:to>
    <mc:AlternateContent xmlns:mc="http://schemas.openxmlformats.org/markup-compatibility/2006" xmlns:a14="http://schemas.microsoft.com/office/drawing/2010/main">
      <mc:Choice Requires="a14">
        <xdr:graphicFrame macro="">
          <xdr:nvGraphicFramePr>
            <xdr:cNvPr id="5" name="Region 5">
              <a:extLst>
                <a:ext uri="{FF2B5EF4-FFF2-40B4-BE49-F238E27FC236}">
                  <a16:creationId xmlns:a16="http://schemas.microsoft.com/office/drawing/2014/main" id="{A4210E47-3551-4027-A8EE-8EE4E56525E9}"/>
                </a:ext>
              </a:extLst>
            </xdr:cNvPr>
            <xdr:cNvGraphicFramePr/>
          </xdr:nvGraphicFramePr>
          <xdr:xfrm>
            <a:off x="0" y="0"/>
            <a:ext cx="0" cy="0"/>
          </xdr:xfrm>
          <a:graphic>
            <a:graphicData uri="http://schemas.microsoft.com/office/drawing/2010/slicer">
              <sle:slicer xmlns:sle="http://schemas.microsoft.com/office/drawing/2010/slicer" name="Region 5"/>
            </a:graphicData>
          </a:graphic>
        </xdr:graphicFrame>
      </mc:Choice>
      <mc:Fallback xmlns="">
        <xdr:sp macro="" textlink="">
          <xdr:nvSpPr>
            <xdr:cNvPr id="0" name=""/>
            <xdr:cNvSpPr>
              <a:spLocks noTextEdit="1"/>
            </xdr:cNvSpPr>
          </xdr:nvSpPr>
          <xdr:spPr>
            <a:xfrm>
              <a:off x="714375" y="4038600"/>
              <a:ext cx="2000250" cy="1866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11</xdr:col>
      <xdr:colOff>552451</xdr:colOff>
      <xdr:row>3</xdr:row>
      <xdr:rowOff>104774</xdr:rowOff>
    </xdr:from>
    <xdr:to>
      <xdr:col>22</xdr:col>
      <xdr:colOff>171451</xdr:colOff>
      <xdr:row>19</xdr:row>
      <xdr:rowOff>171449</xdr:rowOff>
    </xdr:to>
    <xdr:graphicFrame macro="">
      <xdr:nvGraphicFramePr>
        <xdr:cNvPr id="6" name="Chart 5">
          <a:extLst>
            <a:ext uri="{FF2B5EF4-FFF2-40B4-BE49-F238E27FC236}">
              <a16:creationId xmlns:a16="http://schemas.microsoft.com/office/drawing/2014/main" id="{F852F646-89E1-4A7E-9BA1-CD2603F253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266701</xdr:colOff>
      <xdr:row>6</xdr:row>
      <xdr:rowOff>142875</xdr:rowOff>
    </xdr:from>
    <xdr:to>
      <xdr:col>13</xdr:col>
      <xdr:colOff>295275</xdr:colOff>
      <xdr:row>22</xdr:row>
      <xdr:rowOff>142875</xdr:rowOff>
    </xdr:to>
    <xdr:graphicFrame macro="">
      <xdr:nvGraphicFramePr>
        <xdr:cNvPr id="3" name="Chart 2">
          <a:extLst>
            <a:ext uri="{FF2B5EF4-FFF2-40B4-BE49-F238E27FC236}">
              <a16:creationId xmlns:a16="http://schemas.microsoft.com/office/drawing/2014/main" id="{BFB331B4-7CBC-4088-96E8-C112957BE0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623887</xdr:colOff>
      <xdr:row>8</xdr:row>
      <xdr:rowOff>128586</xdr:rowOff>
    </xdr:from>
    <xdr:to>
      <xdr:col>14</xdr:col>
      <xdr:colOff>47625</xdr:colOff>
      <xdr:row>24</xdr:row>
      <xdr:rowOff>114299</xdr:rowOff>
    </xdr:to>
    <xdr:graphicFrame macro="">
      <xdr:nvGraphicFramePr>
        <xdr:cNvPr id="4" name="Chart 3">
          <a:extLst>
            <a:ext uri="{FF2B5EF4-FFF2-40B4-BE49-F238E27FC236}">
              <a16:creationId xmlns:a16="http://schemas.microsoft.com/office/drawing/2014/main" id="{210C1F2C-5C0A-AFC8-2E6B-982C08100E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985836</xdr:colOff>
      <xdr:row>10</xdr:row>
      <xdr:rowOff>138111</xdr:rowOff>
    </xdr:from>
    <xdr:to>
      <xdr:col>14</xdr:col>
      <xdr:colOff>400049</xdr:colOff>
      <xdr:row>26</xdr:row>
      <xdr:rowOff>123824</xdr:rowOff>
    </xdr:to>
    <xdr:graphicFrame macro="">
      <xdr:nvGraphicFramePr>
        <xdr:cNvPr id="5" name="Chart 4">
          <a:extLst>
            <a:ext uri="{FF2B5EF4-FFF2-40B4-BE49-F238E27FC236}">
              <a16:creationId xmlns:a16="http://schemas.microsoft.com/office/drawing/2014/main" id="{C0FC8FB2-56C5-2C41-0A0D-3AD8C5F1D6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1309686</xdr:colOff>
      <xdr:row>12</xdr:row>
      <xdr:rowOff>166687</xdr:rowOff>
    </xdr:from>
    <xdr:to>
      <xdr:col>15</xdr:col>
      <xdr:colOff>114299</xdr:colOff>
      <xdr:row>28</xdr:row>
      <xdr:rowOff>161925</xdr:rowOff>
    </xdr:to>
    <xdr:graphicFrame macro="">
      <xdr:nvGraphicFramePr>
        <xdr:cNvPr id="6" name="Chart 5">
          <a:extLst>
            <a:ext uri="{FF2B5EF4-FFF2-40B4-BE49-F238E27FC236}">
              <a16:creationId xmlns:a16="http://schemas.microsoft.com/office/drawing/2014/main" id="{C676B620-8389-7D37-6E26-0F4004116F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9526</xdr:colOff>
      <xdr:row>9</xdr:row>
      <xdr:rowOff>19050</xdr:rowOff>
    </xdr:from>
    <xdr:to>
      <xdr:col>18</xdr:col>
      <xdr:colOff>9525</xdr:colOff>
      <xdr:row>26</xdr:row>
      <xdr:rowOff>176213</xdr:rowOff>
    </xdr:to>
    <xdr:graphicFrame macro="">
      <xdr:nvGraphicFramePr>
        <xdr:cNvPr id="5" name="Chart  1" hidden="1">
          <a:extLst>
            <a:ext uri="{FF2B5EF4-FFF2-40B4-BE49-F238E27FC236}">
              <a16:creationId xmlns:a16="http://schemas.microsoft.com/office/drawing/2014/main" id="{2219427C-7055-49BC-907D-29A76C516D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9</xdr:row>
      <xdr:rowOff>19050</xdr:rowOff>
    </xdr:from>
    <xdr:to>
      <xdr:col>18</xdr:col>
      <xdr:colOff>9525</xdr:colOff>
      <xdr:row>26</xdr:row>
      <xdr:rowOff>176213</xdr:rowOff>
    </xdr:to>
    <xdr:graphicFrame macro="">
      <xdr:nvGraphicFramePr>
        <xdr:cNvPr id="6" name="Chart  2" hidden="1">
          <a:extLst>
            <a:ext uri="{FF2B5EF4-FFF2-40B4-BE49-F238E27FC236}">
              <a16:creationId xmlns:a16="http://schemas.microsoft.com/office/drawing/2014/main" id="{22537A6D-73F8-4F4D-8194-0B4A4CA00A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600075</xdr:colOff>
      <xdr:row>9</xdr:row>
      <xdr:rowOff>0</xdr:rowOff>
    </xdr:from>
    <xdr:to>
      <xdr:col>18</xdr:col>
      <xdr:colOff>0</xdr:colOff>
      <xdr:row>26</xdr:row>
      <xdr:rowOff>185738</xdr:rowOff>
    </xdr:to>
    <xdr:graphicFrame macro="">
      <xdr:nvGraphicFramePr>
        <xdr:cNvPr id="7" name="Chart  3">
          <a:extLst>
            <a:ext uri="{FF2B5EF4-FFF2-40B4-BE49-F238E27FC236}">
              <a16:creationId xmlns:a16="http://schemas.microsoft.com/office/drawing/2014/main" id="{5E8C982B-32AB-443D-9B79-798C9BF0B9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19049</xdr:colOff>
      <xdr:row>9</xdr:row>
      <xdr:rowOff>0</xdr:rowOff>
    </xdr:from>
    <xdr:to>
      <xdr:col>18</xdr:col>
      <xdr:colOff>0</xdr:colOff>
      <xdr:row>26</xdr:row>
      <xdr:rowOff>190499</xdr:rowOff>
    </xdr:to>
    <xdr:graphicFrame macro="">
      <xdr:nvGraphicFramePr>
        <xdr:cNvPr id="8" name="Chart  4" hidden="1">
          <a:extLst>
            <a:ext uri="{FF2B5EF4-FFF2-40B4-BE49-F238E27FC236}">
              <a16:creationId xmlns:a16="http://schemas.microsoft.com/office/drawing/2014/main" id="{ACA73CB4-46C7-49A6-BE2F-28AF1B57A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381000</xdr:colOff>
      <xdr:row>2</xdr:row>
      <xdr:rowOff>133350</xdr:rowOff>
    </xdr:from>
    <xdr:to>
      <xdr:col>19</xdr:col>
      <xdr:colOff>350521</xdr:colOff>
      <xdr:row>5</xdr:row>
      <xdr:rowOff>85725</xdr:rowOff>
    </xdr:to>
    <mc:AlternateContent xmlns:mc="http://schemas.openxmlformats.org/markup-compatibility/2006" xmlns:a14="http://schemas.microsoft.com/office/drawing/2010/main">
      <mc:Choice Requires="a14">
        <xdr:graphicFrame macro="">
          <xdr:nvGraphicFramePr>
            <xdr:cNvPr id="10" name="Industry 3">
              <a:extLst>
                <a:ext uri="{FF2B5EF4-FFF2-40B4-BE49-F238E27FC236}">
                  <a16:creationId xmlns:a16="http://schemas.microsoft.com/office/drawing/2014/main" id="{5300CD6E-A524-4ED4-8EA4-023FD9AD3AC0}"/>
                </a:ext>
              </a:extLst>
            </xdr:cNvPr>
            <xdr:cNvGraphicFramePr/>
          </xdr:nvGraphicFramePr>
          <xdr:xfrm>
            <a:off x="0" y="0"/>
            <a:ext cx="0" cy="0"/>
          </xdr:xfrm>
          <a:graphic>
            <a:graphicData uri="http://schemas.microsoft.com/office/drawing/2010/slicer">
              <sle:slicer xmlns:sle="http://schemas.microsoft.com/office/drawing/2010/slicer" name="Industry 3"/>
            </a:graphicData>
          </a:graphic>
        </xdr:graphicFrame>
      </mc:Choice>
      <mc:Fallback xmlns="">
        <xdr:sp macro="" textlink="">
          <xdr:nvSpPr>
            <xdr:cNvPr id="0" name=""/>
            <xdr:cNvSpPr>
              <a:spLocks noTextEdit="1"/>
            </xdr:cNvSpPr>
          </xdr:nvSpPr>
          <xdr:spPr>
            <a:xfrm>
              <a:off x="3429000" y="800100"/>
              <a:ext cx="8418196" cy="666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6.xml><?xml version="1.0" encoding="utf-8"?>
<xdr:wsDr xmlns:xdr="http://schemas.openxmlformats.org/drawingml/2006/spreadsheetDrawing" xmlns:a="http://schemas.openxmlformats.org/drawingml/2006/main">
  <xdr:twoCellAnchor>
    <xdr:from>
      <xdr:col>2</xdr:col>
      <xdr:colOff>323849</xdr:colOff>
      <xdr:row>3</xdr:row>
      <xdr:rowOff>190499</xdr:rowOff>
    </xdr:from>
    <xdr:to>
      <xdr:col>9</xdr:col>
      <xdr:colOff>600074</xdr:colOff>
      <xdr:row>19</xdr:row>
      <xdr:rowOff>152400</xdr:rowOff>
    </xdr:to>
    <xdr:graphicFrame macro="">
      <xdr:nvGraphicFramePr>
        <xdr:cNvPr id="2" name="Chart 1">
          <a:extLst>
            <a:ext uri="{FF2B5EF4-FFF2-40B4-BE49-F238E27FC236}">
              <a16:creationId xmlns:a16="http://schemas.microsoft.com/office/drawing/2014/main" id="{C06C1F31-3809-41AD-BFC5-80C398C333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495300</xdr:colOff>
      <xdr:row>19</xdr:row>
      <xdr:rowOff>152400</xdr:rowOff>
    </xdr:from>
    <xdr:to>
      <xdr:col>15</xdr:col>
      <xdr:colOff>276225</xdr:colOff>
      <xdr:row>35</xdr:row>
      <xdr:rowOff>47625</xdr:rowOff>
    </xdr:to>
    <xdr:graphicFrame macro="">
      <xdr:nvGraphicFramePr>
        <xdr:cNvPr id="3" name="Chart 2">
          <a:extLst>
            <a:ext uri="{FF2B5EF4-FFF2-40B4-BE49-F238E27FC236}">
              <a16:creationId xmlns:a16="http://schemas.microsoft.com/office/drawing/2014/main" id="{AB80FB1D-7C23-4DC9-8709-D01BE12700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609599</xdr:colOff>
      <xdr:row>4</xdr:row>
      <xdr:rowOff>0</xdr:rowOff>
    </xdr:from>
    <xdr:to>
      <xdr:col>19</xdr:col>
      <xdr:colOff>0</xdr:colOff>
      <xdr:row>19</xdr:row>
      <xdr:rowOff>152400</xdr:rowOff>
    </xdr:to>
    <xdr:graphicFrame macro="">
      <xdr:nvGraphicFramePr>
        <xdr:cNvPr id="4" name="Chart 3">
          <a:extLst>
            <a:ext uri="{FF2B5EF4-FFF2-40B4-BE49-F238E27FC236}">
              <a16:creationId xmlns:a16="http://schemas.microsoft.com/office/drawing/2014/main" id="{E643CD4F-D529-471F-99C1-1408FF191E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381000</xdr:colOff>
      <xdr:row>5</xdr:row>
      <xdr:rowOff>9525</xdr:rowOff>
    </xdr:from>
    <xdr:to>
      <xdr:col>19</xdr:col>
      <xdr:colOff>76200</xdr:colOff>
      <xdr:row>19</xdr:row>
      <xdr:rowOff>85725</xdr:rowOff>
    </xdr:to>
    <xdr:graphicFrame macro="">
      <xdr:nvGraphicFramePr>
        <xdr:cNvPr id="3" name="Chart 2">
          <a:extLst>
            <a:ext uri="{FF2B5EF4-FFF2-40B4-BE49-F238E27FC236}">
              <a16:creationId xmlns:a16="http://schemas.microsoft.com/office/drawing/2014/main" id="{2D58DD8D-D466-4933-B957-7C5843D1E7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47625</xdr:colOff>
      <xdr:row>5</xdr:row>
      <xdr:rowOff>9525</xdr:rowOff>
    </xdr:from>
    <xdr:to>
      <xdr:col>11</xdr:col>
      <xdr:colOff>352425</xdr:colOff>
      <xdr:row>19</xdr:row>
      <xdr:rowOff>85725</xdr:rowOff>
    </xdr:to>
    <xdr:graphicFrame macro="">
      <xdr:nvGraphicFramePr>
        <xdr:cNvPr id="4" name="Chart 3">
          <a:extLst>
            <a:ext uri="{FF2B5EF4-FFF2-40B4-BE49-F238E27FC236}">
              <a16:creationId xmlns:a16="http://schemas.microsoft.com/office/drawing/2014/main" id="{5077EF19-7C51-45B3-B898-881FC9DF49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17</xdr:col>
      <xdr:colOff>1</xdr:colOff>
      <xdr:row>19</xdr:row>
      <xdr:rowOff>104775</xdr:rowOff>
    </xdr:from>
    <xdr:to>
      <xdr:col>19</xdr:col>
      <xdr:colOff>57151</xdr:colOff>
      <xdr:row>29</xdr:row>
      <xdr:rowOff>38100</xdr:rowOff>
    </xdr:to>
    <mc:AlternateContent xmlns:mc="http://schemas.openxmlformats.org/markup-compatibility/2006" xmlns:a14="http://schemas.microsoft.com/office/drawing/2010/main">
      <mc:Choice Requires="a14">
        <xdr:graphicFrame macro="">
          <xdr:nvGraphicFramePr>
            <xdr:cNvPr id="5" name="Region 6">
              <a:extLst>
                <a:ext uri="{FF2B5EF4-FFF2-40B4-BE49-F238E27FC236}">
                  <a16:creationId xmlns:a16="http://schemas.microsoft.com/office/drawing/2014/main" id="{B42C4AF1-DE79-4D63-A0EB-0630311166DB}"/>
                </a:ext>
              </a:extLst>
            </xdr:cNvPr>
            <xdr:cNvGraphicFramePr/>
          </xdr:nvGraphicFramePr>
          <xdr:xfrm>
            <a:off x="0" y="0"/>
            <a:ext cx="0" cy="0"/>
          </xdr:xfrm>
          <a:graphic>
            <a:graphicData uri="http://schemas.microsoft.com/office/drawing/2010/slicer">
              <sle:slicer xmlns:sle="http://schemas.microsoft.com/office/drawing/2010/slicer" name="Region 6"/>
            </a:graphicData>
          </a:graphic>
        </xdr:graphicFrame>
      </mc:Choice>
      <mc:Fallback xmlns="">
        <xdr:sp macro="" textlink="">
          <xdr:nvSpPr>
            <xdr:cNvPr id="0" name=""/>
            <xdr:cNvSpPr>
              <a:spLocks noTextEdit="1"/>
            </xdr:cNvSpPr>
          </xdr:nvSpPr>
          <xdr:spPr>
            <a:xfrm>
              <a:off x="10363201" y="3733800"/>
              <a:ext cx="1276350" cy="1838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4</xdr:col>
      <xdr:colOff>95250</xdr:colOff>
      <xdr:row>19</xdr:row>
      <xdr:rowOff>76200</xdr:rowOff>
    </xdr:from>
    <xdr:to>
      <xdr:col>7</xdr:col>
      <xdr:colOff>95250</xdr:colOff>
      <xdr:row>33</xdr:row>
      <xdr:rowOff>76200</xdr:rowOff>
    </xdr:to>
    <mc:AlternateContent xmlns:mc="http://schemas.openxmlformats.org/markup-compatibility/2006" xmlns:a14="http://schemas.microsoft.com/office/drawing/2010/main">
      <mc:Choice Requires="a14">
        <xdr:graphicFrame macro="">
          <xdr:nvGraphicFramePr>
            <xdr:cNvPr id="6" name="Industry 4">
              <a:extLst>
                <a:ext uri="{FF2B5EF4-FFF2-40B4-BE49-F238E27FC236}">
                  <a16:creationId xmlns:a16="http://schemas.microsoft.com/office/drawing/2014/main" id="{CA119C16-537D-4A79-BD7F-0174F19ADCF3}"/>
                </a:ext>
              </a:extLst>
            </xdr:cNvPr>
            <xdr:cNvGraphicFramePr/>
          </xdr:nvGraphicFramePr>
          <xdr:xfrm>
            <a:off x="0" y="0"/>
            <a:ext cx="0" cy="0"/>
          </xdr:xfrm>
          <a:graphic>
            <a:graphicData uri="http://schemas.microsoft.com/office/drawing/2010/slicer">
              <sle:slicer xmlns:sle="http://schemas.microsoft.com/office/drawing/2010/slicer" name="Industry 4"/>
            </a:graphicData>
          </a:graphic>
        </xdr:graphicFrame>
      </mc:Choice>
      <mc:Fallback xmlns="">
        <xdr:sp macro="" textlink="">
          <xdr:nvSpPr>
            <xdr:cNvPr id="0" name=""/>
            <xdr:cNvSpPr>
              <a:spLocks noTextEdit="1"/>
            </xdr:cNvSpPr>
          </xdr:nvSpPr>
          <xdr:spPr>
            <a:xfrm>
              <a:off x="2533650" y="370522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7</xdr:col>
      <xdr:colOff>76200</xdr:colOff>
      <xdr:row>19</xdr:row>
      <xdr:rowOff>85725</xdr:rowOff>
    </xdr:from>
    <xdr:to>
      <xdr:col>17</xdr:col>
      <xdr:colOff>4763</xdr:colOff>
      <xdr:row>35</xdr:row>
      <xdr:rowOff>4763</xdr:rowOff>
    </xdr:to>
    <xdr:graphicFrame macro="">
      <xdr:nvGraphicFramePr>
        <xdr:cNvPr id="7" name="Chart 6">
          <a:extLst>
            <a:ext uri="{FF2B5EF4-FFF2-40B4-BE49-F238E27FC236}">
              <a16:creationId xmlns:a16="http://schemas.microsoft.com/office/drawing/2014/main" id="{CBB853CE-9086-4477-9A6A-EBA61EF5A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06229861108" backgroundQuery="1" createdVersion="8" refreshedVersion="8" minRefreshableVersion="3" recordCount="0" supportSubquery="1" supportAdvancedDrill="1" xr:uid="{8E35548C-2269-4325-BAD7-2FFAD25E32E6}">
  <cacheSource type="external" connectionId="4"/>
  <cacheFields count="2">
    <cacheField name="[startup_data].[Exit Status].[Exit Status]" caption="Exit Status" numFmtId="0" hierarchy="11" level="1">
      <sharedItems count="3">
        <s v="Acquired"/>
        <s v="IPO"/>
        <s v="Private"/>
      </sharedItems>
    </cacheField>
    <cacheField name="[Measures].[Average of Funding Amount]" caption="Average of Funding Amount" numFmtId="0" hierarchy="42" level="32767"/>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0" memberValueDatatype="130" unbalanced="0"/>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0" memberValueDatatype="130" unbalanced="0"/>
    <cacheHierarchy uniqueName="[startup_data].[Exit Status]" caption="Exit Status" attribute="1" defaultMemberUniqueName="[startup_data].[Exit Status].[All]" allUniqueName="[startup_data].[Exit Status].[All]" dimensionUniqueName="[startup_data]" displayFolder="" count="2" memberValueDatatype="130" unbalanced="0">
      <fieldsUsage count="2">
        <fieldUsage x="-1"/>
        <fieldUsage x="0"/>
      </fieldsUsage>
    </cacheHierarchy>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06230555555" backgroundQuery="1" createdVersion="8" refreshedVersion="8" minRefreshableVersion="3" recordCount="0" supportSubquery="1" supportAdvancedDrill="1" xr:uid="{A605AE56-5F08-4ABD-BFA2-9CA6844C5F71}">
  <cacheSource type="external" connectionId="4"/>
  <cacheFields count="2">
    <cacheField name="[startup_data].[Exit Status].[Exit Status]" caption="Exit Status" numFmtId="0" hierarchy="11" level="1">
      <sharedItems count="3">
        <s v="Acquired"/>
        <s v="IPO"/>
        <s v="Private"/>
      </sharedItems>
    </cacheField>
    <cacheField name="[Measures].[Count of Profitable]" caption="Count of Profitable" numFmtId="0" hierarchy="41" level="32767"/>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0" memberValueDatatype="130" unbalanced="0"/>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0" memberValueDatatype="130" unbalanced="0"/>
    <cacheHierarchy uniqueName="[startup_data].[Exit Status]" caption="Exit Status" attribute="1" defaultMemberUniqueName="[startup_data].[Exit Status].[All]" allUniqueName="[startup_data].[Exit Status].[All]" dimensionUniqueName="[startup_data]" displayFolder="" count="2" memberValueDatatype="130" unbalanced="0">
      <fieldsUsage count="2">
        <fieldUsage x="-1"/>
        <fieldUsage x="0"/>
      </fieldsUsage>
    </cacheHierarchy>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oneField="1" hidden="1">
      <fieldsUsage count="1">
        <fieldUsage x="1"/>
      </fieldsUsage>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06231481479" backgroundQuery="1" createdVersion="8" refreshedVersion="8" minRefreshableVersion="3" recordCount="0" supportSubquery="1" supportAdvancedDrill="1" xr:uid="{B7F479F5-9698-4775-AB38-C2E727409173}">
  <cacheSource type="external" connectionId="4"/>
  <cacheFields count="3">
    <cacheField name="[startup_data].[Industry].[Industry]" caption="Industry" numFmtId="0" hierarchy="1" level="1">
      <sharedItems count="8">
        <s v="AI"/>
        <s v="Cybersecurity"/>
        <s v="E-Commerce"/>
        <s v="EdTech"/>
        <s v="FinTech"/>
        <s v="Gaming"/>
        <s v="HealthTech"/>
        <s v="IoT"/>
      </sharedItems>
    </cacheField>
    <cacheField name="[startup_data].[Exit Status].[Exit Status]" caption="Exit Status" numFmtId="0" hierarchy="11" level="1">
      <sharedItems count="3">
        <s v="Acquired"/>
        <s v="IPO"/>
        <s v="Private"/>
      </sharedItems>
    </cacheField>
    <cacheField name="[Measures].[Count of Startup Name 2]" caption="Count of Startup Name 2" numFmtId="0" hierarchy="45" level="32767"/>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0"/>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0" memberValueDatatype="130" unbalanced="0"/>
    <cacheHierarchy uniqueName="[startup_data].[Exit Status]" caption="Exit Status" attribute="1" defaultMemberUniqueName="[startup_data].[Exit Status].[All]" allUniqueName="[startup_data].[Exit Status].[All]" dimensionUniqueName="[startup_data]" displayFolder="" count="2" memberValueDatatype="130" unbalanced="0">
      <fieldsUsage count="2">
        <fieldUsage x="-1"/>
        <fieldUsage x="1"/>
      </fieldsUsage>
    </cacheHierarchy>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oneField="1" hidden="1">
      <fieldsUsage count="1">
        <fieldUsage x="2"/>
      </fieldsUsage>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watul Rafi" refreshedDate="45880.50624490741" createdVersion="8" refreshedVersion="8" minRefreshableVersion="3" recordCount="500" xr:uid="{02879C9C-134E-4BC0-9C4A-882237EBBCDA}">
  <cacheSource type="worksheet">
    <worksheetSource name="Table_startup_data_1"/>
  </cacheSource>
  <cacheFields count="15">
    <cacheField name="Startup Name" numFmtId="0">
      <sharedItems/>
    </cacheField>
    <cacheField name="Industry" numFmtId="0">
      <sharedItems count="8">
        <s v="IoT"/>
        <s v="FinTech"/>
        <s v="Cybersecurity"/>
        <s v="EdTech"/>
        <s v="Gaming"/>
        <s v="E-Commerce"/>
        <s v="HealthTech"/>
        <s v="AI"/>
      </sharedItems>
    </cacheField>
    <cacheField name="Funding Rounds" numFmtId="0">
      <sharedItems containsSemiMixedTypes="0" containsString="0" containsNumber="1" containsInteger="1" minValue="1" maxValue="5"/>
    </cacheField>
    <cacheField name="Funding Amount" numFmtId="0">
      <sharedItems containsSemiMixedTypes="0" containsString="0" containsNumber="1" containsInteger="1" minValue="570000" maxValue="299810000"/>
    </cacheField>
    <cacheField name="Valuation" numFmtId="0">
      <sharedItems containsSemiMixedTypes="0" containsString="0" containsNumber="1" containsInteger="1" minValue="2430000" maxValue="4357490000"/>
    </cacheField>
    <cacheField name="Revenue" numFmtId="0">
      <sharedItems containsSemiMixedTypes="0" containsString="0" containsNumber="1" containsInteger="1" minValue="120000" maxValue="99710000"/>
    </cacheField>
    <cacheField name="Employees" numFmtId="0">
      <sharedItems containsSemiMixedTypes="0" containsString="0" containsNumber="1" containsInteger="1" minValue="12" maxValue="4984"/>
    </cacheField>
    <cacheField name="Market Share (%)" numFmtId="0">
      <sharedItems containsSemiMixedTypes="0" containsString="0" containsNumber="1" minValue="1E-3" maxValue="0.1"/>
    </cacheField>
    <cacheField name="Profitable" numFmtId="0">
      <sharedItems/>
    </cacheField>
    <cacheField name="Year Founded" numFmtId="0">
      <sharedItems containsSemiMixedTypes="0" containsString="0" containsNumber="1" containsInteger="1" minValue="1990" maxValue="2022"/>
    </cacheField>
    <cacheField name="Region" numFmtId="0">
      <sharedItems count="5">
        <s v="Europe"/>
        <s v="North America"/>
        <s v="South America"/>
        <s v="Australia"/>
        <s v="Asia"/>
      </sharedItems>
    </cacheField>
    <cacheField name="Exit Status" numFmtId="0">
      <sharedItems/>
    </cacheField>
    <cacheField name="ValuationToFundingRatio" numFmtId="0">
      <sharedItems containsSemiMixedTypes="0" containsString="0" containsNumber="1" minValue="3" maxValue="14.95"/>
    </cacheField>
    <cacheField name="RevenuePerEmployee" numFmtId="0">
      <sharedItems containsSemiMixedTypes="0" containsString="0" containsNumber="1" containsInteger="1" minValue="29" maxValue="2601379"/>
    </cacheField>
    <cacheField name="Startup Age" numFmtId="0">
      <sharedItems containsSemiMixedTypes="0" containsString="0" containsNumber="1" containsInteger="1" minValue="3" maxValue="35"/>
    </cacheField>
  </cacheFields>
  <extLst>
    <ext xmlns:x14="http://schemas.microsoft.com/office/spreadsheetml/2009/9/main" uri="{725AE2AE-9491-48be-B2B4-4EB974FC3084}">
      <x14:pivotCacheDefinition pivotCacheId="35378468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watul Rafi" refreshedDate="45880.506245254626" createdVersion="8" refreshedVersion="8" minRefreshableVersion="3" recordCount="500" xr:uid="{18BD4130-6DC5-4BE5-BAC5-6B56B943FF27}">
  <cacheSource type="worksheet">
    <worksheetSource name="Table_startup_data_13"/>
  </cacheSource>
  <cacheFields count="16">
    <cacheField name="Startup Name" numFmtId="0">
      <sharedItems/>
    </cacheField>
    <cacheField name="Industry" numFmtId="0">
      <sharedItems count="8">
        <s v="Gaming"/>
        <s v="HealthTech"/>
        <s v="Cybersecurity"/>
        <s v="FinTech"/>
        <s v="AI"/>
        <s v="E-Commerce"/>
        <s v="IoT"/>
        <s v="EdTech"/>
      </sharedItems>
    </cacheField>
    <cacheField name="Funding Rounds" numFmtId="0">
      <sharedItems containsSemiMixedTypes="0" containsString="0" containsNumber="1" containsInteger="1" minValue="1" maxValue="5"/>
    </cacheField>
    <cacheField name="Funding Amount" numFmtId="0">
      <sharedItems containsSemiMixedTypes="0" containsString="0" containsNumber="1" containsInteger="1" minValue="570000" maxValue="299810000"/>
    </cacheField>
    <cacheField name="Valuation" numFmtId="0">
      <sharedItems containsSemiMixedTypes="0" containsString="0" containsNumber="1" containsInteger="1" minValue="2430000" maxValue="4357490000"/>
    </cacheField>
    <cacheField name="Revenue" numFmtId="0">
      <sharedItems containsSemiMixedTypes="0" containsString="0" containsNumber="1" containsInteger="1" minValue="120000" maxValue="99710000"/>
    </cacheField>
    <cacheField name="Employees" numFmtId="0">
      <sharedItems containsSemiMixedTypes="0" containsString="0" containsNumber="1" containsInteger="1" minValue="12" maxValue="4984"/>
    </cacheField>
    <cacheField name="Market Share (%)" numFmtId="0">
      <sharedItems containsSemiMixedTypes="0" containsString="0" containsNumber="1" minValue="1E-3" maxValue="0.1"/>
    </cacheField>
    <cacheField name="Profitable" numFmtId="0">
      <sharedItems/>
    </cacheField>
    <cacheField name="Year Founded" numFmtId="0">
      <sharedItems containsSemiMixedTypes="0" containsString="0" containsNumber="1" containsInteger="1" minValue="1990" maxValue="2022"/>
    </cacheField>
    <cacheField name="Region" numFmtId="0">
      <sharedItems count="5">
        <s v="Australia"/>
        <s v="North America"/>
        <s v="Europe"/>
        <s v="South America"/>
        <s v="Asia"/>
      </sharedItems>
    </cacheField>
    <cacheField name="Exit Status" numFmtId="0">
      <sharedItems/>
    </cacheField>
    <cacheField name="ValuationToFundingRatio" numFmtId="0">
      <sharedItems containsSemiMixedTypes="0" containsString="0" containsNumber="1" minValue="3" maxValue="14.95"/>
    </cacheField>
    <cacheField name="RevenuePerEmployee" numFmtId="0">
      <sharedItems containsSemiMixedTypes="0" containsString="0" containsNumber="1" containsInteger="1" minValue="29" maxValue="2601379"/>
    </cacheField>
    <cacheField name="Startup Age" numFmtId="0">
      <sharedItems containsSemiMixedTypes="0" containsString="0" containsNumber="1" containsInteger="1" minValue="3" maxValue="35"/>
    </cacheField>
    <cacheField name="GroupByDimension" numFmtId="0">
      <sharedItems count="13">
        <s v="Gaming"/>
        <s v="HealthTech"/>
        <s v="Cybersecurity"/>
        <s v="FinTech"/>
        <s v="AI"/>
        <s v="E-Commerce"/>
        <s v="IoT"/>
        <s v="EdTech"/>
        <s v="Australia" u="1"/>
        <s v="North America" u="1"/>
        <s v="Europe" u="1"/>
        <s v="South America" u="1"/>
        <s v="Asia" u="1"/>
      </sharedItems>
    </cacheField>
  </cacheFields>
  <extLst>
    <ext xmlns:x14="http://schemas.microsoft.com/office/spreadsheetml/2009/9/main" uri="{725AE2AE-9491-48be-B2B4-4EB974FC3084}">
      <x14:pivotCacheDefinition pivotCacheId="1639704937"/>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0817685185" backgroundQuery="1" createdVersion="8" refreshedVersion="8" minRefreshableVersion="3" recordCount="0" supportSubquery="1" supportAdvancedDrill="1" xr:uid="{BD5F2340-A568-4964-8E2B-0E5E8573B020}">
  <cacheSource type="external" connectionId="4"/>
  <cacheFields count="4">
    <cacheField name="[startup_data].[Startup Name].[Startup Name]" caption="Startup Name" numFmtId="0" level="1">
      <sharedItems count="500">
        <s v="Startup_1"/>
        <s v="Startup_10"/>
        <s v="Startup_100"/>
        <s v="Startup_101"/>
        <s v="Startup_102"/>
        <s v="Startup_103"/>
        <s v="Startup_104"/>
        <s v="Startup_105"/>
        <s v="Startup_106"/>
        <s v="Startup_107"/>
        <s v="Startup_108"/>
        <s v="Startup_109"/>
        <s v="Startup_11"/>
        <s v="Startup_110"/>
        <s v="Startup_111"/>
        <s v="Startup_112"/>
        <s v="Startup_113"/>
        <s v="Startup_114"/>
        <s v="Startup_115"/>
        <s v="Startup_116"/>
        <s v="Startup_117"/>
        <s v="Startup_118"/>
        <s v="Startup_119"/>
        <s v="Startup_12"/>
        <s v="Startup_120"/>
        <s v="Startup_121"/>
        <s v="Startup_122"/>
        <s v="Startup_123"/>
        <s v="Startup_124"/>
        <s v="Startup_125"/>
        <s v="Startup_126"/>
        <s v="Startup_127"/>
        <s v="Startup_128"/>
        <s v="Startup_129"/>
        <s v="Startup_13"/>
        <s v="Startup_130"/>
        <s v="Startup_131"/>
        <s v="Startup_132"/>
        <s v="Startup_133"/>
        <s v="Startup_134"/>
        <s v="Startup_135"/>
        <s v="Startup_136"/>
        <s v="Startup_137"/>
        <s v="Startup_138"/>
        <s v="Startup_139"/>
        <s v="Startup_14"/>
        <s v="Startup_140"/>
        <s v="Startup_141"/>
        <s v="Startup_142"/>
        <s v="Startup_143"/>
        <s v="Startup_144"/>
        <s v="Startup_145"/>
        <s v="Startup_146"/>
        <s v="Startup_147"/>
        <s v="Startup_148"/>
        <s v="Startup_149"/>
        <s v="Startup_15"/>
        <s v="Startup_150"/>
        <s v="Startup_151"/>
        <s v="Startup_152"/>
        <s v="Startup_153"/>
        <s v="Startup_154"/>
        <s v="Startup_155"/>
        <s v="Startup_156"/>
        <s v="Startup_157"/>
        <s v="Startup_158"/>
        <s v="Startup_159"/>
        <s v="Startup_16"/>
        <s v="Startup_160"/>
        <s v="Startup_161"/>
        <s v="Startup_162"/>
        <s v="Startup_163"/>
        <s v="Startup_164"/>
        <s v="Startup_165"/>
        <s v="Startup_166"/>
        <s v="Startup_167"/>
        <s v="Startup_168"/>
        <s v="Startup_169"/>
        <s v="Startup_17"/>
        <s v="Startup_170"/>
        <s v="Startup_171"/>
        <s v="Startup_172"/>
        <s v="Startup_173"/>
        <s v="Startup_174"/>
        <s v="Startup_175"/>
        <s v="Startup_176"/>
        <s v="Startup_177"/>
        <s v="Startup_178"/>
        <s v="Startup_179"/>
        <s v="Startup_18"/>
        <s v="Startup_180"/>
        <s v="Startup_181"/>
        <s v="Startup_182"/>
        <s v="Startup_183"/>
        <s v="Startup_184"/>
        <s v="Startup_185"/>
        <s v="Startup_186"/>
        <s v="Startup_187"/>
        <s v="Startup_188"/>
        <s v="Startup_189"/>
        <s v="Startup_19"/>
        <s v="Startup_190"/>
        <s v="Startup_191"/>
        <s v="Startup_192"/>
        <s v="Startup_193"/>
        <s v="Startup_194"/>
        <s v="Startup_195"/>
        <s v="Startup_196"/>
        <s v="Startup_197"/>
        <s v="Startup_198"/>
        <s v="Startup_199"/>
        <s v="Startup_2"/>
        <s v="Startup_20"/>
        <s v="Startup_200"/>
        <s v="Startup_201"/>
        <s v="Startup_202"/>
        <s v="Startup_203"/>
        <s v="Startup_204"/>
        <s v="Startup_205"/>
        <s v="Startup_206"/>
        <s v="Startup_207"/>
        <s v="Startup_208"/>
        <s v="Startup_209"/>
        <s v="Startup_21"/>
        <s v="Startup_210"/>
        <s v="Startup_211"/>
        <s v="Startup_212"/>
        <s v="Startup_213"/>
        <s v="Startup_214"/>
        <s v="Startup_215"/>
        <s v="Startup_216"/>
        <s v="Startup_217"/>
        <s v="Startup_218"/>
        <s v="Startup_219"/>
        <s v="Startup_22"/>
        <s v="Startup_220"/>
        <s v="Startup_221"/>
        <s v="Startup_222"/>
        <s v="Startup_223"/>
        <s v="Startup_224"/>
        <s v="Startup_225"/>
        <s v="Startup_226"/>
        <s v="Startup_227"/>
        <s v="Startup_228"/>
        <s v="Startup_229"/>
        <s v="Startup_23"/>
        <s v="Startup_230"/>
        <s v="Startup_231"/>
        <s v="Startup_232"/>
        <s v="Startup_233"/>
        <s v="Startup_234"/>
        <s v="Startup_235"/>
        <s v="Startup_236"/>
        <s v="Startup_237"/>
        <s v="Startup_238"/>
        <s v="Startup_239"/>
        <s v="Startup_24"/>
        <s v="Startup_240"/>
        <s v="Startup_241"/>
        <s v="Startup_242"/>
        <s v="Startup_243"/>
        <s v="Startup_244"/>
        <s v="Startup_245"/>
        <s v="Startup_246"/>
        <s v="Startup_247"/>
        <s v="Startup_248"/>
        <s v="Startup_249"/>
        <s v="Startup_25"/>
        <s v="Startup_250"/>
        <s v="Startup_251"/>
        <s v="Startup_252"/>
        <s v="Startup_253"/>
        <s v="Startup_254"/>
        <s v="Startup_255"/>
        <s v="Startup_256"/>
        <s v="Startup_257"/>
        <s v="Startup_258"/>
        <s v="Startup_259"/>
        <s v="Startup_26"/>
        <s v="Startup_260"/>
        <s v="Startup_261"/>
        <s v="Startup_262"/>
        <s v="Startup_263"/>
        <s v="Startup_264"/>
        <s v="Startup_265"/>
        <s v="Startup_266"/>
        <s v="Startup_267"/>
        <s v="Startup_268"/>
        <s v="Startup_269"/>
        <s v="Startup_27"/>
        <s v="Startup_270"/>
        <s v="Startup_271"/>
        <s v="Startup_272"/>
        <s v="Startup_273"/>
        <s v="Startup_274"/>
        <s v="Startup_275"/>
        <s v="Startup_276"/>
        <s v="Startup_277"/>
        <s v="Startup_278"/>
        <s v="Startup_279"/>
        <s v="Startup_28"/>
        <s v="Startup_280"/>
        <s v="Startup_281"/>
        <s v="Startup_282"/>
        <s v="Startup_283"/>
        <s v="Startup_284"/>
        <s v="Startup_285"/>
        <s v="Startup_286"/>
        <s v="Startup_287"/>
        <s v="Startup_288"/>
        <s v="Startup_289"/>
        <s v="Startup_29"/>
        <s v="Startup_290"/>
        <s v="Startup_291"/>
        <s v="Startup_292"/>
        <s v="Startup_293"/>
        <s v="Startup_294"/>
        <s v="Startup_295"/>
        <s v="Startup_296"/>
        <s v="Startup_297"/>
        <s v="Startup_298"/>
        <s v="Startup_299"/>
        <s v="Startup_3"/>
        <s v="Startup_30"/>
        <s v="Startup_300"/>
        <s v="Startup_301"/>
        <s v="Startup_302"/>
        <s v="Startup_303"/>
        <s v="Startup_304"/>
        <s v="Startup_305"/>
        <s v="Startup_306"/>
        <s v="Startup_307"/>
        <s v="Startup_308"/>
        <s v="Startup_309"/>
        <s v="Startup_31"/>
        <s v="Startup_310"/>
        <s v="Startup_311"/>
        <s v="Startup_312"/>
        <s v="Startup_313"/>
        <s v="Startup_314"/>
        <s v="Startup_315"/>
        <s v="Startup_316"/>
        <s v="Startup_317"/>
        <s v="Startup_318"/>
        <s v="Startup_319"/>
        <s v="Startup_32"/>
        <s v="Startup_320"/>
        <s v="Startup_321"/>
        <s v="Startup_322"/>
        <s v="Startup_323"/>
        <s v="Startup_324"/>
        <s v="Startup_325"/>
        <s v="Startup_326"/>
        <s v="Startup_327"/>
        <s v="Startup_328"/>
        <s v="Startup_329"/>
        <s v="Startup_33"/>
        <s v="Startup_330"/>
        <s v="Startup_331"/>
        <s v="Startup_332"/>
        <s v="Startup_333"/>
        <s v="Startup_334"/>
        <s v="Startup_335"/>
        <s v="Startup_336"/>
        <s v="Startup_337"/>
        <s v="Startup_338"/>
        <s v="Startup_339"/>
        <s v="Startup_34"/>
        <s v="Startup_340"/>
        <s v="Startup_341"/>
        <s v="Startup_342"/>
        <s v="Startup_343"/>
        <s v="Startup_344"/>
        <s v="Startup_345"/>
        <s v="Startup_346"/>
        <s v="Startup_347"/>
        <s v="Startup_348"/>
        <s v="Startup_349"/>
        <s v="Startup_35"/>
        <s v="Startup_350"/>
        <s v="Startup_351"/>
        <s v="Startup_352"/>
        <s v="Startup_353"/>
        <s v="Startup_354"/>
        <s v="Startup_355"/>
        <s v="Startup_356"/>
        <s v="Startup_357"/>
        <s v="Startup_358"/>
        <s v="Startup_359"/>
        <s v="Startup_36"/>
        <s v="Startup_360"/>
        <s v="Startup_361"/>
        <s v="Startup_362"/>
        <s v="Startup_363"/>
        <s v="Startup_364"/>
        <s v="Startup_365"/>
        <s v="Startup_366"/>
        <s v="Startup_367"/>
        <s v="Startup_368"/>
        <s v="Startup_369"/>
        <s v="Startup_37"/>
        <s v="Startup_370"/>
        <s v="Startup_371"/>
        <s v="Startup_372"/>
        <s v="Startup_373"/>
        <s v="Startup_374"/>
        <s v="Startup_375"/>
        <s v="Startup_376"/>
        <s v="Startup_377"/>
        <s v="Startup_378"/>
        <s v="Startup_379"/>
        <s v="Startup_38"/>
        <s v="Startup_380"/>
        <s v="Startup_381"/>
        <s v="Startup_382"/>
        <s v="Startup_383"/>
        <s v="Startup_384"/>
        <s v="Startup_385"/>
        <s v="Startup_386"/>
        <s v="Startup_387"/>
        <s v="Startup_388"/>
        <s v="Startup_389"/>
        <s v="Startup_39"/>
        <s v="Startup_390"/>
        <s v="Startup_391"/>
        <s v="Startup_392"/>
        <s v="Startup_393"/>
        <s v="Startup_394"/>
        <s v="Startup_395"/>
        <s v="Startup_396"/>
        <s v="Startup_397"/>
        <s v="Startup_398"/>
        <s v="Startup_399"/>
        <s v="Startup_4"/>
        <s v="Startup_40"/>
        <s v="Startup_400"/>
        <s v="Startup_401"/>
        <s v="Startup_402"/>
        <s v="Startup_403"/>
        <s v="Startup_404"/>
        <s v="Startup_405"/>
        <s v="Startup_406"/>
        <s v="Startup_407"/>
        <s v="Startup_408"/>
        <s v="Startup_409"/>
        <s v="Startup_41"/>
        <s v="Startup_410"/>
        <s v="Startup_411"/>
        <s v="Startup_412"/>
        <s v="Startup_413"/>
        <s v="Startup_414"/>
        <s v="Startup_415"/>
        <s v="Startup_416"/>
        <s v="Startup_417"/>
        <s v="Startup_418"/>
        <s v="Startup_419"/>
        <s v="Startup_42"/>
        <s v="Startup_420"/>
        <s v="Startup_421"/>
        <s v="Startup_422"/>
        <s v="Startup_423"/>
        <s v="Startup_424"/>
        <s v="Startup_425"/>
        <s v="Startup_426"/>
        <s v="Startup_427"/>
        <s v="Startup_428"/>
        <s v="Startup_429"/>
        <s v="Startup_43"/>
        <s v="Startup_430"/>
        <s v="Startup_431"/>
        <s v="Startup_432"/>
        <s v="Startup_433"/>
        <s v="Startup_434"/>
        <s v="Startup_435"/>
        <s v="Startup_436"/>
        <s v="Startup_437"/>
        <s v="Startup_438"/>
        <s v="Startup_439"/>
        <s v="Startup_44"/>
        <s v="Startup_440"/>
        <s v="Startup_441"/>
        <s v="Startup_442"/>
        <s v="Startup_443"/>
        <s v="Startup_444"/>
        <s v="Startup_445"/>
        <s v="Startup_446"/>
        <s v="Startup_447"/>
        <s v="Startup_448"/>
        <s v="Startup_449"/>
        <s v="Startup_45"/>
        <s v="Startup_450"/>
        <s v="Startup_451"/>
        <s v="Startup_452"/>
        <s v="Startup_453"/>
        <s v="Startup_454"/>
        <s v="Startup_455"/>
        <s v="Startup_456"/>
        <s v="Startup_457"/>
        <s v="Startup_458"/>
        <s v="Startup_459"/>
        <s v="Startup_46"/>
        <s v="Startup_460"/>
        <s v="Startup_461"/>
        <s v="Startup_462"/>
        <s v="Startup_463"/>
        <s v="Startup_464"/>
        <s v="Startup_465"/>
        <s v="Startup_466"/>
        <s v="Startup_467"/>
        <s v="Startup_468"/>
        <s v="Startup_469"/>
        <s v="Startup_47"/>
        <s v="Startup_470"/>
        <s v="Startup_471"/>
        <s v="Startup_472"/>
        <s v="Startup_473"/>
        <s v="Startup_474"/>
        <s v="Startup_475"/>
        <s v="Startup_476"/>
        <s v="Startup_477"/>
        <s v="Startup_478"/>
        <s v="Startup_479"/>
        <s v="Startup_48"/>
        <s v="Startup_480"/>
        <s v="Startup_481"/>
        <s v="Startup_482"/>
        <s v="Startup_483"/>
        <s v="Startup_484"/>
        <s v="Startup_485"/>
        <s v="Startup_486"/>
        <s v="Startup_487"/>
        <s v="Startup_488"/>
        <s v="Startup_489"/>
        <s v="Startup_49"/>
        <s v="Startup_490"/>
        <s v="Startup_491"/>
        <s v="Startup_492"/>
        <s v="Startup_493"/>
        <s v="Startup_494"/>
        <s v="Startup_495"/>
        <s v="Startup_496"/>
        <s v="Startup_497"/>
        <s v="Startup_498"/>
        <s v="Startup_499"/>
        <s v="Startup_5"/>
        <s v="Startup_50"/>
        <s v="Startup_500"/>
        <s v="Startup_51"/>
        <s v="Startup_52"/>
        <s v="Startup_53"/>
        <s v="Startup_54"/>
        <s v="Startup_55"/>
        <s v="Startup_56"/>
        <s v="Startup_57"/>
        <s v="Startup_58"/>
        <s v="Startup_59"/>
        <s v="Startup_6"/>
        <s v="Startup_60"/>
        <s v="Startup_61"/>
        <s v="Startup_62"/>
        <s v="Startup_63"/>
        <s v="Startup_64"/>
        <s v="Startup_65"/>
        <s v="Startup_66"/>
        <s v="Startup_67"/>
        <s v="Startup_68"/>
        <s v="Startup_69"/>
        <s v="Startup_7"/>
        <s v="Startup_70"/>
        <s v="Startup_71"/>
        <s v="Startup_72"/>
        <s v="Startup_73"/>
        <s v="Startup_74"/>
        <s v="Startup_75"/>
        <s v="Startup_76"/>
        <s v="Startup_77"/>
        <s v="Startup_78"/>
        <s v="Startup_79"/>
        <s v="Startup_8"/>
        <s v="Startup_80"/>
        <s v="Startup_81"/>
        <s v="Startup_82"/>
        <s v="Startup_83"/>
        <s v="Startup_84"/>
        <s v="Startup_85"/>
        <s v="Startup_86"/>
        <s v="Startup_87"/>
        <s v="Startup_88"/>
        <s v="Startup_89"/>
        <s v="Startup_9"/>
        <s v="Startup_90"/>
        <s v="Startup_91"/>
        <s v="Startup_92"/>
        <s v="Startup_93"/>
        <s v="Startup_94"/>
        <s v="Startup_95"/>
        <s v="Startup_96"/>
        <s v="Startup_97"/>
        <s v="Startup_98"/>
        <s v="Startup_99"/>
      </sharedItems>
    </cacheField>
    <cacheField name="[Measures].[Sum of Funding Amount 2]" caption="Sum of Funding Amount 2" numFmtId="0" hierarchy="36" level="32767"/>
    <cacheField name="[Measures].[Sum of Revenue]" caption="Sum of Revenue" numFmtId="0" hierarchy="37" level="32767"/>
    <cacheField name="[startup_data].[Industry].[Industry]" caption="Industry" numFmtId="0" hierarchy="1"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2" memberValueDatatype="130" unbalanced="0">
      <fieldsUsage count="2">
        <fieldUsage x="-1"/>
        <fieldUsage x="0"/>
      </fieldsUsage>
    </cacheHierarchy>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3"/>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oneField="1" hidden="1">
      <fieldsUsage count="1">
        <fieldUsage x="2"/>
      </fieldsUsage>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09920949073" backgroundQuery="1" createdVersion="8" refreshedVersion="8" minRefreshableVersion="3" recordCount="0" supportSubquery="1" supportAdvancedDrill="1" xr:uid="{8076CED4-64D7-473D-8B91-527B0C3E484C}">
  <cacheSource type="external" connectionId="4"/>
  <cacheFields count="3">
    <cacheField name="[startup_data].[Startup Name].[Startup Name]" caption="Startup Name" numFmtId="0" level="1">
      <sharedItems count="10">
        <s v="Startup_164"/>
        <s v="Startup_283"/>
        <s v="Startup_302"/>
        <s v="Startup_363"/>
        <s v="Startup_403"/>
        <s v="Startup_408"/>
        <s v="Startup_421"/>
        <s v="Startup_488"/>
        <s v="Startup_54"/>
        <s v="Startup_81"/>
      </sharedItems>
    </cacheField>
    <cacheField name="[startup_data].[Industry].[Industry]" caption="Industry" numFmtId="0" hierarchy="1" level="1">
      <sharedItems count="8">
        <s v="AI"/>
        <s v="Cybersecurity"/>
        <s v="E-Commerce"/>
        <s v="EdTech"/>
        <s v="FinTech"/>
        <s v="Gaming"/>
        <s v="HealthTech"/>
        <s v="IoT"/>
      </sharedItems>
    </cacheField>
    <cacheField name="[Measures].[Average of RevenuePerEmployee]" caption="Average of RevenuePerEmployee" numFmtId="0" hierarchy="39" level="32767"/>
  </cacheFields>
  <cacheHierarchies count="46">
    <cacheHierarchy uniqueName="[startup_data].[Startup Name]" caption="Startup Name" attribute="1" defaultMemberUniqueName="[startup_data].[Startup Name].[All]" allUniqueName="[startup_data].[Startup Name].[All]" dimensionUniqueName="[startup_data]" displayFolder="" count="2" memberValueDatatype="130" unbalanced="0">
      <fieldsUsage count="2">
        <fieldUsage x="-1"/>
        <fieldUsage x="0"/>
      </fieldsUsage>
    </cacheHierarchy>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1"/>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oneField="1" hidden="1">
      <fieldsUsage count="1">
        <fieldUsage x="2"/>
      </fieldsUsage>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09921296296" backgroundQuery="1" createdVersion="8" refreshedVersion="8" minRefreshableVersion="3" recordCount="0" supportSubquery="1" supportAdvancedDrill="1" xr:uid="{69CEAD24-A307-4154-B50E-1658EF64EEB1}">
  <cacheSource type="external" connectionId="4"/>
  <cacheFields count="3">
    <cacheField name="[startup_data].[Industry].[Industry]" caption="Industry" numFmtId="0" hierarchy="1" level="1">
      <sharedItems count="8">
        <s v="AI"/>
        <s v="Cybersecurity"/>
        <s v="E-Commerce"/>
        <s v="EdTech"/>
        <s v="FinTech"/>
        <s v="Gaming"/>
        <s v="HealthTech"/>
        <s v="IoT"/>
      </sharedItems>
    </cacheField>
    <cacheField name="[Measures].[Sum of Revenue]" caption="Sum of Revenue" numFmtId="0" hierarchy="37" level="32767"/>
    <cacheField name="[Measures].[Sum of Market Share (%)]" caption="Sum of Market Share (%)" numFmtId="0" hierarchy="40" level="32767"/>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0"/>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oneField="1" hidden="1">
      <fieldsUsage count="1">
        <fieldUsage x="2"/>
      </fieldsUsage>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1215289352" backgroundQuery="1" createdVersion="8" refreshedVersion="8" minRefreshableVersion="3" recordCount="0" supportSubquery="1" supportAdvancedDrill="1" xr:uid="{E0E4E3AE-A1C7-4449-B715-970686A5AE2C}">
  <cacheSource type="external" connectionId="4"/>
  <cacheFields count="3">
    <cacheField name="[startup_data].[Region].[Region]" caption="Region" numFmtId="0" hierarchy="10" level="1">
      <sharedItems count="5">
        <s v="Asia"/>
        <s v="Australia"/>
        <s v="Europe"/>
        <s v="North America"/>
        <s v="South America"/>
      </sharedItems>
    </cacheField>
    <cacheField name="[Measures].[Sum of Market Share (%)]" caption="Sum of Market Share (%)" numFmtId="0" hierarchy="40" level="32767"/>
    <cacheField name="[startup_data].[Industry].[Industry]" caption="Industry" numFmtId="0" hierarchy="1"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2"/>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fieldsUsage count="2">
        <fieldUsage x="-1"/>
        <fieldUsage x="0"/>
      </fieldsUsage>
    </cacheHierarchy>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oneField="1" hidden="1">
      <fieldsUsage count="1">
        <fieldUsage x="1"/>
      </fieldsUsage>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12153240743" backgroundQuery="1" createdVersion="8" refreshedVersion="8" minRefreshableVersion="3" recordCount="0" supportSubquery="1" supportAdvancedDrill="1" xr:uid="{2DBB3DD9-1820-4A11-9F4D-FF40EA857EA1}">
  <cacheSource type="external" connectionId="4"/>
  <cacheFields count="3">
    <cacheField name="[startup_data].[Region].[Region]" caption="Region" numFmtId="0" hierarchy="10" level="1">
      <sharedItems count="5">
        <s v="Asia"/>
        <s v="Australia"/>
        <s v="Europe"/>
        <s v="North America"/>
        <s v="South America"/>
      </sharedItems>
    </cacheField>
    <cacheField name="[Measures].[Sum of Valuation]" caption="Sum of Valuation" numFmtId="0" hierarchy="43" level="32767"/>
    <cacheField name="[startup_data].[Industry].[Industry]" caption="Industry" numFmtId="0" hierarchy="1"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2"/>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fieldsUsage count="2">
        <fieldUsage x="-1"/>
        <fieldUsage x="0"/>
      </fieldsUsage>
    </cacheHierarchy>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oneField="1" hidden="1">
      <fieldsUsage count="1">
        <fieldUsage x="1"/>
      </fieldsUsage>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12153587966" backgroundQuery="1" createdVersion="8" refreshedVersion="8" minRefreshableVersion="3" recordCount="0" supportSubquery="1" supportAdvancedDrill="1" xr:uid="{72B379A2-51B6-42A2-B54D-BC9DA3476161}">
  <cacheSource type="external" connectionId="4"/>
  <cacheFields count="3">
    <cacheField name="[startup_data].[Region].[Region]" caption="Region" numFmtId="0" hierarchy="10" level="1">
      <sharedItems count="5">
        <s v="Asia"/>
        <s v="Australia"/>
        <s v="Europe"/>
        <s v="North America"/>
        <s v="South America"/>
      </sharedItems>
    </cacheField>
    <cacheField name="[Measures].[Sum of Funding Amount 2]" caption="Sum of Funding Amount 2" numFmtId="0" hierarchy="36" level="32767"/>
    <cacheField name="[startup_data].[Industry].[Industry]" caption="Industry" numFmtId="0" hierarchy="1"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2"/>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fieldsUsage count="2">
        <fieldUsage x="-1"/>
        <fieldUsage x="0"/>
      </fieldsUsage>
    </cacheHierarchy>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12153935182" backgroundQuery="1" createdVersion="8" refreshedVersion="8" minRefreshableVersion="3" recordCount="0" supportSubquery="1" supportAdvancedDrill="1" xr:uid="{B9F0170E-EBB9-40A1-B5B6-E10F17592562}">
  <cacheSource type="external" connectionId="4"/>
  <cacheFields count="3">
    <cacheField name="[startup_data].[Region].[Region]" caption="Region" numFmtId="0" hierarchy="10" level="1">
      <sharedItems count="5">
        <s v="Asia"/>
        <s v="Australia"/>
        <s v="Europe"/>
        <s v="North America"/>
        <s v="South America"/>
      </sharedItems>
    </cacheField>
    <cacheField name="[Measures].[Count of Industry 2]" caption="Count of Industry 2" numFmtId="0" hierarchy="44" level="32767"/>
    <cacheField name="[startup_data].[Industry].[Industry]" caption="Industry" numFmtId="0" hierarchy="1"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2"/>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fieldsUsage count="2">
        <fieldUsage x="-1"/>
        <fieldUsage x="0"/>
      </fieldsUsage>
    </cacheHierarchy>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oneField="1" hidden="1">
      <fieldsUsage count="1">
        <fieldUsage x="1"/>
      </fieldsUsage>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12206597225" backgroundQuery="1" createdVersion="8" refreshedVersion="8" minRefreshableVersion="3" recordCount="0" supportSubquery="1" supportAdvancedDrill="1" xr:uid="{7BF52D3C-7E6A-4321-B2E3-B6F43D5E7E5A}">
  <cacheSource type="external" connectionId="4"/>
  <cacheFields count="4">
    <cacheField name="[Measures].[Average of Funding Amount]" caption="Average of Funding Amount" numFmtId="0" hierarchy="42" level="32767"/>
    <cacheField name="[startup_data].[Industry].[Industry]" caption="Industry" numFmtId="0" hierarchy="1" level="1">
      <sharedItems count="8">
        <s v="AI"/>
        <s v="Cybersecurity"/>
        <s v="E-Commerce"/>
        <s v="EdTech"/>
        <s v="FinTech"/>
        <s v="Gaming"/>
        <s v="HealthTech"/>
        <s v="IoT"/>
      </sharedItems>
    </cacheField>
    <cacheField name="[startup_data].[Profitable].[Profitable]" caption="Profitable" numFmtId="0" hierarchy="8" level="1">
      <sharedItems count="2">
        <b v="0"/>
        <b v="1"/>
      </sharedItems>
    </cacheField>
    <cacheField name="[startup_data].[Region].[Region]" caption="Region" numFmtId="0" hierarchy="10"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1"/>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2" memberValueDatatype="11" unbalanced="0">
      <fieldsUsage count="2">
        <fieldUsage x="-1"/>
        <fieldUsage x="2"/>
      </fieldsUsage>
    </cacheHierarchy>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fieldsUsage count="2">
        <fieldUsage x="-1"/>
        <fieldUsage x="3"/>
      </fieldsUsage>
    </cacheHierarchy>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oneField="1" hidden="1">
      <fieldsUsage count="1">
        <fieldUsage x="0"/>
      </fieldsUsage>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12206944448" backgroundQuery="1" createdVersion="8" refreshedVersion="8" minRefreshableVersion="3" recordCount="0" supportSubquery="1" supportAdvancedDrill="1" xr:uid="{B2837297-1C6C-4688-821E-7C1BF9D3A606}">
  <cacheSource type="external" connectionId="4"/>
  <cacheFields count="4">
    <cacheField name="[startup_data].[Profitable].[Profitable]" caption="Profitable" numFmtId="0" hierarchy="8" level="1">
      <sharedItems count="2">
        <b v="0"/>
        <b v="1"/>
      </sharedItems>
    </cacheField>
    <cacheField name="[startup_data].[Industry].[Industry]" caption="Industry" numFmtId="0" hierarchy="1" level="1">
      <sharedItems count="8">
        <s v="AI"/>
        <s v="Cybersecurity"/>
        <s v="E-Commerce"/>
        <s v="EdTech"/>
        <s v="FinTech"/>
        <s v="Gaming"/>
        <s v="HealthTech"/>
        <s v="IoT"/>
      </sharedItems>
    </cacheField>
    <cacheField name="[Measures].[Average of RevenuePerEmployee]" caption="Average of RevenuePerEmployee" numFmtId="0" hierarchy="39" level="32767"/>
    <cacheField name="[startup_data].[Region].[Region]" caption="Region" numFmtId="0" hierarchy="10"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1"/>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2" memberValueDatatype="11" unbalanced="0">
      <fieldsUsage count="2">
        <fieldUsage x="-1"/>
        <fieldUsage x="0"/>
      </fieldsUsage>
    </cacheHierarchy>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fieldsUsage count="2">
        <fieldUsage x="-1"/>
        <fieldUsage x="3"/>
      </fieldsUsage>
    </cacheHierarchy>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oneField="1" hidden="1">
      <fieldsUsage count="1">
        <fieldUsage x="2"/>
      </fieldsUsage>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12216550924" backgroundQuery="1" createdVersion="8" refreshedVersion="8" minRefreshableVersion="3" recordCount="0" supportSubquery="1" supportAdvancedDrill="1" xr:uid="{B633CF79-0857-48C0-BA88-B7C74B027856}">
  <cacheSource type="external" connectionId="4"/>
  <cacheFields count="3">
    <cacheField name="[startup_data].[Industry].[Industry]" caption="Industry" numFmtId="0" hierarchy="1" level="1">
      <sharedItems count="8">
        <s v="AI"/>
        <s v="Cybersecurity"/>
        <s v="E-Commerce"/>
        <s v="EdTech"/>
        <s v="FinTech"/>
        <s v="Gaming"/>
        <s v="HealthTech"/>
        <s v="IoT"/>
      </sharedItems>
    </cacheField>
    <cacheField name="[Measures].[Profitibility of Startups]" caption="Profitibility of Startups" numFmtId="0" hierarchy="27" level="32767"/>
    <cacheField name="[startup_data].[Region].[Region]" caption="Region" numFmtId="0" hierarchy="10"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0"/>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fieldsUsage count="2">
        <fieldUsage x="-1"/>
        <fieldUsage x="2"/>
      </fieldsUsage>
    </cacheHierarchy>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oneField="1">
      <fieldsUsage count="1">
        <fieldUsage x="1"/>
      </fieldsUsage>
    </cacheHierarchy>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13906134256" backgroundQuery="1" createdVersion="8" refreshedVersion="8" minRefreshableVersion="3" recordCount="0" supportSubquery="1" supportAdvancedDrill="1" xr:uid="{68BEBFBF-9923-431A-9B7F-181906FC5EB3}">
  <cacheSource type="external" connectionId="4"/>
  <cacheFields count="4">
    <cacheField name="[startup_data].[Startup Age].[Startup Age]" caption="Startup Age" numFmtId="0" hierarchy="14" level="1">
      <sharedItems containsSemiMixedTypes="0" containsString="0" containsNumber="1" containsInteger="1" minValue="3" maxValue="35" count="33">
        <n v="3"/>
        <n v="4"/>
        <n v="5"/>
        <n v="6"/>
        <n v="7"/>
        <n v="8"/>
        <n v="9"/>
        <n v="10"/>
        <n v="11"/>
        <n v="12"/>
        <n v="13"/>
        <n v="14"/>
        <n v="15"/>
        <n v="16"/>
        <n v="17"/>
        <n v="18"/>
        <n v="19"/>
        <n v="20"/>
        <n v="21"/>
        <n v="22"/>
        <n v="23"/>
        <n v="24"/>
        <n v="25"/>
        <n v="26"/>
        <n v="27"/>
        <n v="28"/>
        <n v="29"/>
        <n v="30"/>
        <n v="31"/>
        <n v="32"/>
        <n v="33"/>
        <n v="34"/>
        <n v="35"/>
      </sharedItems>
      <extLst>
        <ext xmlns:x15="http://schemas.microsoft.com/office/spreadsheetml/2010/11/main" uri="{4F2E5C28-24EA-4eb8-9CBF-B6C8F9C3D259}">
          <x15:cachedUniqueNames>
            <x15:cachedUniqueName index="0" name="[startup_data].[Startup Age].&amp;[3]"/>
            <x15:cachedUniqueName index="1" name="[startup_data].[Startup Age].&amp;[4]"/>
            <x15:cachedUniqueName index="2" name="[startup_data].[Startup Age].&amp;[5]"/>
            <x15:cachedUniqueName index="3" name="[startup_data].[Startup Age].&amp;[6]"/>
            <x15:cachedUniqueName index="4" name="[startup_data].[Startup Age].&amp;[7]"/>
            <x15:cachedUniqueName index="5" name="[startup_data].[Startup Age].&amp;[8]"/>
            <x15:cachedUniqueName index="6" name="[startup_data].[Startup Age].&amp;[9]"/>
            <x15:cachedUniqueName index="7" name="[startup_data].[Startup Age].&amp;[10]"/>
            <x15:cachedUniqueName index="8" name="[startup_data].[Startup Age].&amp;[11]"/>
            <x15:cachedUniqueName index="9" name="[startup_data].[Startup Age].&amp;[12]"/>
            <x15:cachedUniqueName index="10" name="[startup_data].[Startup Age].&amp;[13]"/>
            <x15:cachedUniqueName index="11" name="[startup_data].[Startup Age].&amp;[14]"/>
            <x15:cachedUniqueName index="12" name="[startup_data].[Startup Age].&amp;[15]"/>
            <x15:cachedUniqueName index="13" name="[startup_data].[Startup Age].&amp;[16]"/>
            <x15:cachedUniqueName index="14" name="[startup_data].[Startup Age].&amp;[17]"/>
            <x15:cachedUniqueName index="15" name="[startup_data].[Startup Age].&amp;[18]"/>
            <x15:cachedUniqueName index="16" name="[startup_data].[Startup Age].&amp;[19]"/>
            <x15:cachedUniqueName index="17" name="[startup_data].[Startup Age].&amp;[20]"/>
            <x15:cachedUniqueName index="18" name="[startup_data].[Startup Age].&amp;[21]"/>
            <x15:cachedUniqueName index="19" name="[startup_data].[Startup Age].&amp;[22]"/>
            <x15:cachedUniqueName index="20" name="[startup_data].[Startup Age].&amp;[23]"/>
            <x15:cachedUniqueName index="21" name="[startup_data].[Startup Age].&amp;[24]"/>
            <x15:cachedUniqueName index="22" name="[startup_data].[Startup Age].&amp;[25]"/>
            <x15:cachedUniqueName index="23" name="[startup_data].[Startup Age].&amp;[26]"/>
            <x15:cachedUniqueName index="24" name="[startup_data].[Startup Age].&amp;[27]"/>
            <x15:cachedUniqueName index="25" name="[startup_data].[Startup Age].&amp;[28]"/>
            <x15:cachedUniqueName index="26" name="[startup_data].[Startup Age].&amp;[29]"/>
            <x15:cachedUniqueName index="27" name="[startup_data].[Startup Age].&amp;[30]"/>
            <x15:cachedUniqueName index="28" name="[startup_data].[Startup Age].&amp;[31]"/>
            <x15:cachedUniqueName index="29" name="[startup_data].[Startup Age].&amp;[32]"/>
            <x15:cachedUniqueName index="30" name="[startup_data].[Startup Age].&amp;[33]"/>
            <x15:cachedUniqueName index="31" name="[startup_data].[Startup Age].&amp;[34]"/>
            <x15:cachedUniqueName index="32" name="[startup_data].[Startup Age].&amp;[35]"/>
          </x15:cachedUniqueNames>
        </ext>
      </extLst>
    </cacheField>
    <cacheField name="[Measures].[Sum of Funding Amount 2]" caption="Sum of Funding Amount 2" numFmtId="0" hierarchy="36" level="32767"/>
    <cacheField name="[Measures].[Sum of Valuation]" caption="Sum of Valuation" numFmtId="0" hierarchy="43" level="32767"/>
    <cacheField name="[startup_data].[Industry].[Industry]" caption="Industry" numFmtId="0" hierarchy="1"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3"/>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2" memberValueDatatype="20" unbalanced="0">
      <fieldsUsage count="2">
        <fieldUsage x="-1"/>
        <fieldUsage x="0"/>
      </fieldsUsage>
    </cacheHierarchy>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oneField="1" hidden="1">
      <fieldsUsage count="1">
        <fieldUsage x="2"/>
      </fieldsUsage>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13906481479" backgroundQuery="1" createdVersion="8" refreshedVersion="8" minRefreshableVersion="3" recordCount="0" supportSubquery="1" supportAdvancedDrill="1" xr:uid="{59084C73-9058-4458-9980-A1EE722A1B57}">
  <cacheSource type="external" connectionId="4"/>
  <cacheFields count="3">
    <cacheField name="[startup_data].[Startup Age].[Startup Age]" caption="Startup Age" numFmtId="0" hierarchy="14" level="1">
      <sharedItems containsSemiMixedTypes="0" containsString="0" containsNumber="1" containsInteger="1" minValue="3" maxValue="35" count="33">
        <n v="3"/>
        <n v="4"/>
        <n v="5"/>
        <n v="6"/>
        <n v="7"/>
        <n v="8"/>
        <n v="9"/>
        <n v="10"/>
        <n v="11"/>
        <n v="12"/>
        <n v="13"/>
        <n v="14"/>
        <n v="15"/>
        <n v="16"/>
        <n v="17"/>
        <n v="18"/>
        <n v="19"/>
        <n v="20"/>
        <n v="21"/>
        <n v="22"/>
        <n v="23"/>
        <n v="24"/>
        <n v="25"/>
        <n v="26"/>
        <n v="27"/>
        <n v="28"/>
        <n v="29"/>
        <n v="30"/>
        <n v="31"/>
        <n v="32"/>
        <n v="33"/>
        <n v="34"/>
        <n v="35"/>
      </sharedItems>
      <extLst>
        <ext xmlns:x15="http://schemas.microsoft.com/office/spreadsheetml/2010/11/main" uri="{4F2E5C28-24EA-4eb8-9CBF-B6C8F9C3D259}">
          <x15:cachedUniqueNames>
            <x15:cachedUniqueName index="0" name="[startup_data].[Startup Age].&amp;[3]"/>
            <x15:cachedUniqueName index="1" name="[startup_data].[Startup Age].&amp;[4]"/>
            <x15:cachedUniqueName index="2" name="[startup_data].[Startup Age].&amp;[5]"/>
            <x15:cachedUniqueName index="3" name="[startup_data].[Startup Age].&amp;[6]"/>
            <x15:cachedUniqueName index="4" name="[startup_data].[Startup Age].&amp;[7]"/>
            <x15:cachedUniqueName index="5" name="[startup_data].[Startup Age].&amp;[8]"/>
            <x15:cachedUniqueName index="6" name="[startup_data].[Startup Age].&amp;[9]"/>
            <x15:cachedUniqueName index="7" name="[startup_data].[Startup Age].&amp;[10]"/>
            <x15:cachedUniqueName index="8" name="[startup_data].[Startup Age].&amp;[11]"/>
            <x15:cachedUniqueName index="9" name="[startup_data].[Startup Age].&amp;[12]"/>
            <x15:cachedUniqueName index="10" name="[startup_data].[Startup Age].&amp;[13]"/>
            <x15:cachedUniqueName index="11" name="[startup_data].[Startup Age].&amp;[14]"/>
            <x15:cachedUniqueName index="12" name="[startup_data].[Startup Age].&amp;[15]"/>
            <x15:cachedUniqueName index="13" name="[startup_data].[Startup Age].&amp;[16]"/>
            <x15:cachedUniqueName index="14" name="[startup_data].[Startup Age].&amp;[17]"/>
            <x15:cachedUniqueName index="15" name="[startup_data].[Startup Age].&amp;[18]"/>
            <x15:cachedUniqueName index="16" name="[startup_data].[Startup Age].&amp;[19]"/>
            <x15:cachedUniqueName index="17" name="[startup_data].[Startup Age].&amp;[20]"/>
            <x15:cachedUniqueName index="18" name="[startup_data].[Startup Age].&amp;[21]"/>
            <x15:cachedUniqueName index="19" name="[startup_data].[Startup Age].&amp;[22]"/>
            <x15:cachedUniqueName index="20" name="[startup_data].[Startup Age].&amp;[23]"/>
            <x15:cachedUniqueName index="21" name="[startup_data].[Startup Age].&amp;[24]"/>
            <x15:cachedUniqueName index="22" name="[startup_data].[Startup Age].&amp;[25]"/>
            <x15:cachedUniqueName index="23" name="[startup_data].[Startup Age].&amp;[26]"/>
            <x15:cachedUniqueName index="24" name="[startup_data].[Startup Age].&amp;[27]"/>
            <x15:cachedUniqueName index="25" name="[startup_data].[Startup Age].&amp;[28]"/>
            <x15:cachedUniqueName index="26" name="[startup_data].[Startup Age].&amp;[29]"/>
            <x15:cachedUniqueName index="27" name="[startup_data].[Startup Age].&amp;[30]"/>
            <x15:cachedUniqueName index="28" name="[startup_data].[Startup Age].&amp;[31]"/>
            <x15:cachedUniqueName index="29" name="[startup_data].[Startup Age].&amp;[32]"/>
            <x15:cachedUniqueName index="30" name="[startup_data].[Startup Age].&amp;[33]"/>
            <x15:cachedUniqueName index="31" name="[startup_data].[Startup Age].&amp;[34]"/>
            <x15:cachedUniqueName index="32" name="[startup_data].[Startup Age].&amp;[35]"/>
          </x15:cachedUniqueNames>
        </ext>
      </extLst>
    </cacheField>
    <cacheField name="[Measures].[Sum of Revenue]" caption="Sum of Revenue" numFmtId="0" hierarchy="37" level="32767"/>
    <cacheField name="[startup_data].[Industry].[Industry]" caption="Industry" numFmtId="0" hierarchy="1" level="1">
      <sharedItems containsSemiMixedTypes="0" containsNonDate="0" containsString="0"/>
    </cacheField>
  </cacheFields>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fieldsUsage count="2">
        <fieldUsage x="-1"/>
        <fieldUsage x="2"/>
      </fieldsUsage>
    </cacheHierarchy>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2" memberValueDatatype="20" unbalanced="0">
      <fieldsUsage count="2">
        <fieldUsage x="-1"/>
        <fieldUsage x="0"/>
      </fieldsUsage>
    </cacheHierarchy>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startup_data" uniqueName="[startup_data]" caption="startup_data"/>
    <dimension name="startup_data 1" uniqueName="[startup_data 1]" caption="startup_data 1"/>
  </dimensions>
  <measureGroups count="2">
    <measureGroup name="startup_data" caption="startup_data"/>
    <measureGroup name="startup_data 1" caption="startup_data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06224999997" backgroundQuery="1" createdVersion="3" refreshedVersion="8" minRefreshableVersion="3" recordCount="0" supportSubquery="1" supportAdvancedDrill="1" xr:uid="{B043FAB4-93B4-48DC-A227-910BE5DCAADD}">
  <cacheSource type="external" connectionId="4">
    <extLst>
      <ext xmlns:x14="http://schemas.microsoft.com/office/spreadsheetml/2009/9/main" uri="{F057638F-6D5F-4e77-A914-E7F072B9BCA8}">
        <x14:sourceConnection name="ThisWorkbookDataModel"/>
      </ext>
    </extLst>
  </cacheSource>
  <cacheFields count="0"/>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0" memberValueDatatype="130" unbalanced="0"/>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928880910"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06231944448" backgroundQuery="1" createdVersion="3" refreshedVersion="8" minRefreshableVersion="3" recordCount="0" supportSubquery="1" supportAdvancedDrill="1" xr:uid="{C52312B5-9998-423A-9057-A93FD361F485}">
  <cacheSource type="external" connectionId="4">
    <extLst>
      <ext xmlns:x14="http://schemas.microsoft.com/office/spreadsheetml/2009/9/main" uri="{F057638F-6D5F-4e77-A914-E7F072B9BCA8}">
        <x14:sourceConnection name="ThisWorkbookDataModel"/>
      </ext>
    </extLst>
  </cacheSource>
  <cacheFields count="0"/>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0"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113192185"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06236574074" backgroundQuery="1" createdVersion="3" refreshedVersion="8" minRefreshableVersion="3" recordCount="0" supportSubquery="1" supportAdvancedDrill="1" xr:uid="{41474D5A-ADD9-4F82-9659-4AC6D007D42D}">
  <cacheSource type="external" connectionId="4">
    <extLst>
      <ext xmlns:x14="http://schemas.microsoft.com/office/spreadsheetml/2009/9/main" uri="{F057638F-6D5F-4e77-A914-E7F072B9BCA8}">
        <x14:sourceConnection name="ThisWorkbookDataModel"/>
      </ext>
    </extLst>
  </cacheSource>
  <cacheFields count="0"/>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0" memberValueDatatype="130" unbalanced="0"/>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430744559"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06238425929" backgroundQuery="1" createdVersion="3" refreshedVersion="8" minRefreshableVersion="3" recordCount="0" supportSubquery="1" supportAdvancedDrill="1" xr:uid="{E70E0AF2-0541-4D7D-8A76-72FC09727F6C}">
  <cacheSource type="external" connectionId="4">
    <extLst>
      <ext xmlns:x14="http://schemas.microsoft.com/office/spreadsheetml/2009/9/main" uri="{F057638F-6D5F-4e77-A914-E7F072B9BCA8}">
        <x14:sourceConnection name="ThisWorkbookDataModel"/>
      </ext>
    </extLst>
  </cacheSource>
  <cacheFields count="0"/>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71256615"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watul Rafi" refreshedDate="45880.506241087962" backgroundQuery="1" createdVersion="3" refreshedVersion="8" minRefreshableVersion="3" recordCount="0" supportSubquery="1" supportAdvancedDrill="1" xr:uid="{C5578A63-02A5-4E27-8F80-9004CA67C532}">
  <cacheSource type="external" connectionId="4">
    <extLst>
      <ext xmlns:x14="http://schemas.microsoft.com/office/spreadsheetml/2009/9/main" uri="{F057638F-6D5F-4e77-A914-E7F072B9BCA8}">
        <x14:sourceConnection name="ThisWorkbookDataModel"/>
      </ext>
    </extLst>
  </cacheSource>
  <cacheFields count="0"/>
  <cacheHierarchies count="46">
    <cacheHierarchy uniqueName="[startup_data].[Startup Name]" caption="Startup Name" attribute="1" defaultMemberUniqueName="[startup_data].[Startup Name].[All]" allUniqueName="[startup_data].[Startup Name].[All]" dimensionUniqueName="[startup_data]" displayFolder="" count="0" memberValueDatatype="130" unbalanced="0"/>
    <cacheHierarchy uniqueName="[startup_data].[Industry]" caption="Industry" attribute="1" defaultMemberUniqueName="[startup_data].[Industry].[All]" allUniqueName="[startup_data].[Industry].[All]" dimensionUniqueName="[startup_data]" displayFolder="" count="2" memberValueDatatype="130" unbalanced="0"/>
    <cacheHierarchy uniqueName="[startup_data].[Funding Rounds]" caption="Funding Rounds" attribute="1" defaultMemberUniqueName="[startup_data].[Funding Rounds].[All]" allUniqueName="[startup_data].[Funding Rounds].[All]" dimensionUniqueName="[startup_data]" displayFolder="" count="0" memberValueDatatype="20" unbalanced="0"/>
    <cacheHierarchy uniqueName="[startup_data].[Funding Amount]" caption="Funding Amount" attribute="1" defaultMemberUniqueName="[startup_data].[Funding Amount].[All]" allUniqueName="[startup_data].[Funding Amount].[All]" dimensionUniqueName="[startup_data]" displayFolder="" count="0" memberValueDatatype="5" unbalanced="0"/>
    <cacheHierarchy uniqueName="[startup_data].[Valuation]" caption="Valuation" attribute="1" defaultMemberUniqueName="[startup_data].[Valuation].[All]" allUniqueName="[startup_data].[Valuation].[All]" dimensionUniqueName="[startup_data]" displayFolder="" count="0" memberValueDatatype="5" unbalanced="0"/>
    <cacheHierarchy uniqueName="[startup_data].[Revenue]" caption="Revenue" attribute="1" defaultMemberUniqueName="[startup_data].[Revenue].[All]" allUniqueName="[startup_data].[Revenue].[All]" dimensionUniqueName="[startup_data]" displayFolder="" count="0" memberValueDatatype="5" unbalanced="0"/>
    <cacheHierarchy uniqueName="[startup_data].[Employees]" caption="Employees" attribute="1" defaultMemberUniqueName="[startup_data].[Employees].[All]" allUniqueName="[startup_data].[Employees].[All]" dimensionUniqueName="[startup_data]" displayFolder="" count="0" memberValueDatatype="20" unbalanced="0"/>
    <cacheHierarchy uniqueName="[startup_data].[Market Share (%)]" caption="Market Share (%)" attribute="1" defaultMemberUniqueName="[startup_data].[Market Share (%)].[All]" allUniqueName="[startup_data].[Market Share (%)].[All]" dimensionUniqueName="[startup_data]" displayFolder="" count="0" memberValueDatatype="5" unbalanced="0"/>
    <cacheHierarchy uniqueName="[startup_data].[Profitable]" caption="Profitable" attribute="1" defaultMemberUniqueName="[startup_data].[Profitable].[All]" allUniqueName="[startup_data].[Profitable].[All]" dimensionUniqueName="[startup_data]" displayFolder="" count="0" memberValueDatatype="11" unbalanced="0"/>
    <cacheHierarchy uniqueName="[startup_data].[Year Founded]" caption="Year Founded" attribute="1" defaultMemberUniqueName="[startup_data].[Year Founded].[All]" allUniqueName="[startup_data].[Year Founded].[All]" dimensionUniqueName="[startup_data]" displayFolder="" count="0" memberValueDatatype="20" unbalanced="0"/>
    <cacheHierarchy uniqueName="[startup_data].[Region]" caption="Region" attribute="1" defaultMemberUniqueName="[startup_data].[Region].[All]" allUniqueName="[startup_data].[Region].[All]" dimensionUniqueName="[startup_data]" displayFolder="" count="2" memberValueDatatype="130" unbalanced="0"/>
    <cacheHierarchy uniqueName="[startup_data].[Exit Status]" caption="Exit Status" attribute="1" defaultMemberUniqueName="[startup_data].[Exit Status].[All]" allUniqueName="[startup_data].[Exit Status].[All]" dimensionUniqueName="[startup_data]" displayFolder="" count="0" memberValueDatatype="130" unbalanced="0"/>
    <cacheHierarchy uniqueName="[startup_data].[ValuationToFundingRatio]" caption="ValuationToFundingRatio" attribute="1" defaultMemberUniqueName="[startup_data].[ValuationToFundingRatio].[All]" allUniqueName="[startup_data].[ValuationToFundingRatio].[All]" dimensionUniqueName="[startup_data]" displayFolder="" count="0" memberValueDatatype="5" unbalanced="0"/>
    <cacheHierarchy uniqueName="[startup_data].[RevenuePerEmployee]" caption="RevenuePerEmployee" attribute="1" defaultMemberUniqueName="[startup_data].[RevenuePerEmployee].[All]" allUniqueName="[startup_data].[RevenuePerEmployee].[All]" dimensionUniqueName="[startup_data]" displayFolder="" count="0" memberValueDatatype="20" unbalanced="0"/>
    <cacheHierarchy uniqueName="[startup_data].[Startup Age]" caption="Startup Age" attribute="1" defaultMemberUniqueName="[startup_data].[Startup Age].[All]" allUniqueName="[startup_data].[Startup Age].[All]" dimensionUniqueName="[startup_data]" displayFolder="" count="0" memberValueDatatype="20" unbalanced="0"/>
    <cacheHierarchy uniqueName="[startup_data 1].[Startup Name]" caption="Startup Name" attribute="1" defaultMemberUniqueName="[startup_data 1].[Startup Name].[All]" allUniqueName="[startup_data 1].[Startup Name].[All]" dimensionUniqueName="[startup_data 1]" displayFolder="" count="0" memberValueDatatype="130" unbalanced="0"/>
    <cacheHierarchy uniqueName="[startup_data 1].[Industry]" caption="Industry" attribute="1" defaultMemberUniqueName="[startup_data 1].[Industry].[All]" allUniqueName="[startup_data 1].[Industry].[All]" dimensionUniqueName="[startup_data 1]" displayFolder="" count="0" memberValueDatatype="130" unbalanced="0"/>
    <cacheHierarchy uniqueName="[startup_data 1].[Funding Rounds]" caption="Funding Rounds" attribute="1" defaultMemberUniqueName="[startup_data 1].[Funding Rounds].[All]" allUniqueName="[startup_data 1].[Funding Rounds].[All]" dimensionUniqueName="[startup_data 1]" displayFolder="" count="0" memberValueDatatype="20" unbalanced="0"/>
    <cacheHierarchy uniqueName="[startup_data 1].[Funding Amount]" caption="Funding Amount" attribute="1" defaultMemberUniqueName="[startup_data 1].[Funding Amount].[All]" allUniqueName="[startup_data 1].[Funding Amount].[All]" dimensionUniqueName="[startup_data 1]" displayFolder="" count="0" memberValueDatatype="20" unbalanced="0"/>
    <cacheHierarchy uniqueName="[startup_data 1].[Valuation]" caption="Valuation" attribute="1" defaultMemberUniqueName="[startup_data 1].[Valuation].[All]" allUniqueName="[startup_data 1].[Valuation].[All]" dimensionUniqueName="[startup_data 1]" displayFolder="" count="0" memberValueDatatype="5" unbalanced="0"/>
    <cacheHierarchy uniqueName="[startup_data 1].[Revenue]" caption="Revenue" attribute="1" defaultMemberUniqueName="[startup_data 1].[Revenue].[All]" allUniqueName="[startup_data 1].[Revenue].[All]" dimensionUniqueName="[startup_data 1]" displayFolder="" count="0" memberValueDatatype="20" unbalanced="0"/>
    <cacheHierarchy uniqueName="[startup_data 1].[Employees]" caption="Employees" attribute="1" defaultMemberUniqueName="[startup_data 1].[Employees].[All]" allUniqueName="[startup_data 1].[Employees].[All]" dimensionUniqueName="[startup_data 1]" displayFolder="" count="0" memberValueDatatype="20" unbalanced="0"/>
    <cacheHierarchy uniqueName="[startup_data 1].[Market Share (%)]" caption="Market Share (%)" attribute="1" defaultMemberUniqueName="[startup_data 1].[Market Share (%)].[All]" allUniqueName="[startup_data 1].[Market Share (%)].[All]" dimensionUniqueName="[startup_data 1]" displayFolder="" count="0" memberValueDatatype="5" unbalanced="0"/>
    <cacheHierarchy uniqueName="[startup_data 1].[Profitable]" caption="Profitable" attribute="1" defaultMemberUniqueName="[startup_data 1].[Profitable].[All]" allUniqueName="[startup_data 1].[Profitable].[All]" dimensionUniqueName="[startup_data 1]" displayFolder="" count="0" memberValueDatatype="11" unbalanced="0"/>
    <cacheHierarchy uniqueName="[startup_data 1].[Year Founded]" caption="Year Founded" attribute="1" defaultMemberUniqueName="[startup_data 1].[Year Founded].[All]" allUniqueName="[startup_data 1].[Year Founded].[All]" dimensionUniqueName="[startup_data 1]" displayFolder="" count="0" memberValueDatatype="20" unbalanced="0"/>
    <cacheHierarchy uniqueName="[startup_data 1].[Region]" caption="Region" attribute="1" defaultMemberUniqueName="[startup_data 1].[Region].[All]" allUniqueName="[startup_data 1].[Region].[All]" dimensionUniqueName="[startup_data 1]" displayFolder="" count="0" memberValueDatatype="130" unbalanced="0"/>
    <cacheHierarchy uniqueName="[startup_data 1].[Exit Status]" caption="Exit Status" attribute="1" defaultMemberUniqueName="[startup_data 1].[Exit Status].[All]" allUniqueName="[startup_data 1].[Exit Status].[All]" dimensionUniqueName="[startup_data 1]" displayFolder="" count="0" memberValueDatatype="130" unbalanced="0"/>
    <cacheHierarchy uniqueName="[Measures].[Profitibility of Startups]" caption="Profitibility of Startups" measure="1" displayFolder="" measureGroup="startup_data" count="0"/>
    <cacheHierarchy uniqueName="[Measures].[Number of Industries]" caption="Number of Industries" measure="1" displayFolder="" measureGroup="startup_data" count="0"/>
    <cacheHierarchy uniqueName="[Measures].[RPE MEAN]" caption="RPE MEAN" measure="1" displayFolder="" measureGroup="startup_data" count="0"/>
    <cacheHierarchy uniqueName="[Measures].[__XL_Count startup_data]" caption="__XL_Count startup_data" measure="1" displayFolder="" measureGroup="startup_data" count="0" hidden="1"/>
    <cacheHierarchy uniqueName="[Measures].[__XL_Count startup_data 1]" caption="__XL_Count startup_data 1" measure="1" displayFolder="" measureGroup="startup_data 1" count="0" hidden="1"/>
    <cacheHierarchy uniqueName="[Measures].[__No measures defined]" caption="__No measures defined" measure="1" displayFolder="" count="0" hidden="1"/>
    <cacheHierarchy uniqueName="[Measures].[Sum of Funding Amount]" caption="Sum of Funding Amount" measure="1" displayFolder="" measureGroup="startup_data 1" count="0" hidden="1">
      <extLst>
        <ext xmlns:x15="http://schemas.microsoft.com/office/spreadsheetml/2010/11/main" uri="{B97F6D7D-B522-45F9-BDA1-12C45D357490}">
          <x15:cacheHierarchy aggregatedColumn="18"/>
        </ext>
      </extLst>
    </cacheHierarchy>
    <cacheHierarchy uniqueName="[Measures].[Count of Industry]" caption="Count of Industry" measure="1" displayFolder="" measureGroup="startup_data 1" count="0" hidden="1">
      <extLst>
        <ext xmlns:x15="http://schemas.microsoft.com/office/spreadsheetml/2010/11/main" uri="{B97F6D7D-B522-45F9-BDA1-12C45D357490}">
          <x15:cacheHierarchy aggregatedColumn="16"/>
        </ext>
      </extLst>
    </cacheHierarchy>
    <cacheHierarchy uniqueName="[Measures].[Count of Startup Name]" caption="Count of Startup Name" measure="1" displayFolder="" measureGroup="startup_data 1" count="0" hidden="1">
      <extLst>
        <ext xmlns:x15="http://schemas.microsoft.com/office/spreadsheetml/2010/11/main" uri="{B97F6D7D-B522-45F9-BDA1-12C45D357490}">
          <x15:cacheHierarchy aggregatedColumn="15"/>
        </ext>
      </extLst>
    </cacheHierarchy>
    <cacheHierarchy uniqueName="[Measures].[Sum of Funding Amount 2]" caption="Sum of Funding Amount 2" measure="1" displayFolder="" measureGroup="startup_data"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startup_data" count="0" hidden="1">
      <extLst>
        <ext xmlns:x15="http://schemas.microsoft.com/office/spreadsheetml/2010/11/main" uri="{B97F6D7D-B522-45F9-BDA1-12C45D357490}">
          <x15:cacheHierarchy aggregatedColumn="5"/>
        </ext>
      </extLst>
    </cacheHierarchy>
    <cacheHierarchy uniqueName="[Measures].[Sum of RevenuePerEmployee]" caption="Sum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Average of RevenuePerEmployee]" caption="Average of RevenuePerEmployee" measure="1" displayFolder="" measureGroup="startup_data" count="0" hidden="1">
      <extLst>
        <ext xmlns:x15="http://schemas.microsoft.com/office/spreadsheetml/2010/11/main" uri="{B97F6D7D-B522-45F9-BDA1-12C45D357490}">
          <x15:cacheHierarchy aggregatedColumn="13"/>
        </ext>
      </extLst>
    </cacheHierarchy>
    <cacheHierarchy uniqueName="[Measures].[Sum of Market Share (%)]" caption="Sum of Market Share (%)" measure="1" displayFolder="" measureGroup="startup_data" count="0" hidden="1">
      <extLst>
        <ext xmlns:x15="http://schemas.microsoft.com/office/spreadsheetml/2010/11/main" uri="{B97F6D7D-B522-45F9-BDA1-12C45D357490}">
          <x15:cacheHierarchy aggregatedColumn="7"/>
        </ext>
      </extLst>
    </cacheHierarchy>
    <cacheHierarchy uniqueName="[Measures].[Count of Profitable]" caption="Count of Profitable" measure="1" displayFolder="" measureGroup="startup_data" count="0" hidden="1">
      <extLst>
        <ext xmlns:x15="http://schemas.microsoft.com/office/spreadsheetml/2010/11/main" uri="{B97F6D7D-B522-45F9-BDA1-12C45D357490}">
          <x15:cacheHierarchy aggregatedColumn="8"/>
        </ext>
      </extLst>
    </cacheHierarchy>
    <cacheHierarchy uniqueName="[Measures].[Average of Funding Amount]" caption="Average of Funding Amount" measure="1" displayFolder="" measureGroup="startup_data" count="0" hidden="1">
      <extLst>
        <ext xmlns:x15="http://schemas.microsoft.com/office/spreadsheetml/2010/11/main" uri="{B97F6D7D-B522-45F9-BDA1-12C45D357490}">
          <x15:cacheHierarchy aggregatedColumn="3"/>
        </ext>
      </extLst>
    </cacheHierarchy>
    <cacheHierarchy uniqueName="[Measures].[Sum of Valuation]" caption="Sum of Valuation" measure="1" displayFolder="" measureGroup="startup_data" count="0" hidden="1">
      <extLst>
        <ext xmlns:x15="http://schemas.microsoft.com/office/spreadsheetml/2010/11/main" uri="{B97F6D7D-B522-45F9-BDA1-12C45D357490}">
          <x15:cacheHierarchy aggregatedColumn="4"/>
        </ext>
      </extLst>
    </cacheHierarchy>
    <cacheHierarchy uniqueName="[Measures].[Count of Industry 2]" caption="Count of Industry 2" measure="1" displayFolder="" measureGroup="startup_data" count="0" hidden="1">
      <extLst>
        <ext xmlns:x15="http://schemas.microsoft.com/office/spreadsheetml/2010/11/main" uri="{B97F6D7D-B522-45F9-BDA1-12C45D357490}">
          <x15:cacheHierarchy aggregatedColumn="1"/>
        </ext>
      </extLst>
    </cacheHierarchy>
    <cacheHierarchy uniqueName="[Measures].[Count of Startup Name 2]" caption="Count of Startup Name 2" measure="1" displayFolder="" measureGroup="startup_data"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682855891"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Startup_1"/>
    <x v="0"/>
    <n v="1"/>
    <n v="101090000"/>
    <n v="844750000"/>
    <n v="67870000"/>
    <n v="1468"/>
    <n v="5.1999999999999998E-2"/>
    <b v="0"/>
    <n v="2006"/>
    <x v="0"/>
    <s v="Private"/>
    <n v="8.36"/>
    <n v="46233"/>
    <n v="19"/>
  </r>
  <r>
    <s v="Startup_10"/>
    <x v="1"/>
    <n v="3"/>
    <n v="66240000"/>
    <n v="707450000"/>
    <n v="21800000"/>
    <n v="3655"/>
    <n v="9.9000000000000005E-2"/>
    <b v="0"/>
    <n v="1995"/>
    <x v="0"/>
    <s v="Private"/>
    <n v="10.68"/>
    <n v="5964"/>
    <n v="30"/>
  </r>
  <r>
    <s v="Startup_100"/>
    <x v="2"/>
    <n v="2"/>
    <n v="191350000"/>
    <n v="1139080000"/>
    <n v="84490000"/>
    <n v="4682"/>
    <n v="3.44E-2"/>
    <b v="0"/>
    <n v="2000"/>
    <x v="1"/>
    <s v="Private"/>
    <n v="5.95"/>
    <n v="18046"/>
    <n v="25"/>
  </r>
  <r>
    <s v="Startup_101"/>
    <x v="3"/>
    <n v="1"/>
    <n v="294180000"/>
    <n v="2565350000"/>
    <n v="26890000"/>
    <n v="4795"/>
    <n v="0.1"/>
    <b v="0"/>
    <n v="2002"/>
    <x v="2"/>
    <s v="Private"/>
    <n v="8.7200000000000006"/>
    <n v="5608"/>
    <n v="23"/>
  </r>
  <r>
    <s v="Startup_102"/>
    <x v="4"/>
    <n v="2"/>
    <n v="271060000"/>
    <n v="2095940000"/>
    <n v="15720000"/>
    <n v="1615"/>
    <n v="4.1200000000000001E-2"/>
    <b v="1"/>
    <n v="1992"/>
    <x v="3"/>
    <s v="Private"/>
    <n v="7.73"/>
    <n v="9734"/>
    <n v="33"/>
  </r>
  <r>
    <s v="Startup_103"/>
    <x v="5"/>
    <n v="1"/>
    <n v="194180000"/>
    <n v="1862760000"/>
    <n v="85320000"/>
    <n v="3493"/>
    <n v="2.2800000000000001E-2"/>
    <b v="0"/>
    <n v="1998"/>
    <x v="3"/>
    <s v="Acquired"/>
    <n v="9.59"/>
    <n v="24426"/>
    <n v="27"/>
  </r>
  <r>
    <s v="Startup_104"/>
    <x v="2"/>
    <n v="4"/>
    <n v="208110000"/>
    <n v="2489520000"/>
    <n v="4750000"/>
    <n v="2459"/>
    <n v="7.6499999999999999E-2"/>
    <b v="0"/>
    <n v="2001"/>
    <x v="1"/>
    <s v="IPO"/>
    <n v="11.96"/>
    <n v="1932"/>
    <n v="24"/>
  </r>
  <r>
    <s v="Startup_105"/>
    <x v="0"/>
    <n v="4"/>
    <n v="15950000"/>
    <n v="184790000"/>
    <n v="62010000"/>
    <n v="4499"/>
    <n v="5.4699999999999999E-2"/>
    <b v="0"/>
    <n v="2012"/>
    <x v="0"/>
    <s v="IPO"/>
    <n v="11.59"/>
    <n v="13783"/>
    <n v="13"/>
  </r>
  <r>
    <s v="Startup_106"/>
    <x v="6"/>
    <n v="5"/>
    <n v="201140000"/>
    <n v="1861510000"/>
    <n v="56240000"/>
    <n v="1951"/>
    <n v="1.5800000000000002E-2"/>
    <b v="0"/>
    <n v="2003"/>
    <x v="1"/>
    <s v="Private"/>
    <n v="9.25"/>
    <n v="28826"/>
    <n v="22"/>
  </r>
  <r>
    <s v="Startup_107"/>
    <x v="0"/>
    <n v="2"/>
    <n v="13730000"/>
    <n v="176690000"/>
    <n v="34660000"/>
    <n v="4815"/>
    <n v="3.8699999999999998E-2"/>
    <b v="1"/>
    <n v="2022"/>
    <x v="1"/>
    <s v="Private"/>
    <n v="12.87"/>
    <n v="7198"/>
    <n v="3"/>
  </r>
  <r>
    <s v="Startup_108"/>
    <x v="4"/>
    <n v="5"/>
    <n v="176680000"/>
    <n v="1443540000"/>
    <n v="31590000"/>
    <n v="4804"/>
    <n v="4.2000000000000003E-2"/>
    <b v="1"/>
    <n v="2007"/>
    <x v="3"/>
    <s v="Private"/>
    <n v="8.17"/>
    <n v="6576"/>
    <n v="18"/>
  </r>
  <r>
    <s v="Startup_109"/>
    <x v="5"/>
    <n v="2"/>
    <n v="299810000"/>
    <n v="4125560000"/>
    <n v="77210000"/>
    <n v="2813"/>
    <n v="7.5600000000000001E-2"/>
    <b v="1"/>
    <n v="1998"/>
    <x v="2"/>
    <s v="Acquired"/>
    <n v="13.76"/>
    <n v="27448"/>
    <n v="27"/>
  </r>
  <r>
    <s v="Startup_11"/>
    <x v="7"/>
    <n v="5"/>
    <n v="292380000"/>
    <n v="1665520000"/>
    <n v="13870000"/>
    <n v="4657"/>
    <n v="9.5500000000000002E-2"/>
    <b v="0"/>
    <n v="1994"/>
    <x v="0"/>
    <s v="Private"/>
    <n v="5.7"/>
    <n v="2978"/>
    <n v="31"/>
  </r>
  <r>
    <s v="Startup_110"/>
    <x v="4"/>
    <n v="5"/>
    <n v="166960000"/>
    <n v="643690000"/>
    <n v="8730000"/>
    <n v="3830"/>
    <n v="3.0000000000000001E-3"/>
    <b v="0"/>
    <n v="2012"/>
    <x v="1"/>
    <s v="Private"/>
    <n v="3.86"/>
    <n v="2279"/>
    <n v="13"/>
  </r>
  <r>
    <s v="Startup_111"/>
    <x v="3"/>
    <n v="3"/>
    <n v="142230000"/>
    <n v="2056070000"/>
    <n v="23750000"/>
    <n v="3541"/>
    <n v="2.76E-2"/>
    <b v="0"/>
    <n v="1999"/>
    <x v="0"/>
    <s v="Acquired"/>
    <n v="14.46"/>
    <n v="6707"/>
    <n v="26"/>
  </r>
  <r>
    <s v="Startup_112"/>
    <x v="1"/>
    <n v="3"/>
    <n v="94200000"/>
    <n v="1022670000"/>
    <n v="73270000"/>
    <n v="3807"/>
    <n v="5.2200000000000003E-2"/>
    <b v="0"/>
    <n v="2008"/>
    <x v="4"/>
    <s v="Private"/>
    <n v="10.86"/>
    <n v="19246"/>
    <n v="17"/>
  </r>
  <r>
    <s v="Startup_113"/>
    <x v="5"/>
    <n v="3"/>
    <n v="36600000"/>
    <n v="276730000"/>
    <n v="54880000"/>
    <n v="4182"/>
    <n v="2.76E-2"/>
    <b v="1"/>
    <n v="1994"/>
    <x v="1"/>
    <s v="Private"/>
    <n v="7.56"/>
    <n v="13123"/>
    <n v="31"/>
  </r>
  <r>
    <s v="Startup_114"/>
    <x v="1"/>
    <n v="3"/>
    <n v="219440000"/>
    <n v="1177480000"/>
    <n v="12890000"/>
    <n v="4704"/>
    <n v="6.3200000000000006E-2"/>
    <b v="0"/>
    <n v="2012"/>
    <x v="1"/>
    <s v="Private"/>
    <n v="5.37"/>
    <n v="2740"/>
    <n v="13"/>
  </r>
  <r>
    <s v="Startup_115"/>
    <x v="2"/>
    <n v="1"/>
    <n v="58180000"/>
    <n v="509090000"/>
    <n v="88230000"/>
    <n v="1975"/>
    <n v="4.87E-2"/>
    <b v="0"/>
    <n v="2019"/>
    <x v="0"/>
    <s v="Private"/>
    <n v="8.75"/>
    <n v="44673"/>
    <n v="6"/>
  </r>
  <r>
    <s v="Startup_116"/>
    <x v="6"/>
    <n v="3"/>
    <n v="35030000"/>
    <n v="186870000"/>
    <n v="39410000"/>
    <n v="3827"/>
    <n v="3.6799999999999999E-2"/>
    <b v="1"/>
    <n v="2014"/>
    <x v="2"/>
    <s v="Private"/>
    <n v="5.33"/>
    <n v="10298"/>
    <n v="11"/>
  </r>
  <r>
    <s v="Startup_117"/>
    <x v="7"/>
    <n v="4"/>
    <n v="126820000"/>
    <n v="633590000"/>
    <n v="82800000"/>
    <n v="2824"/>
    <n v="9.5000000000000001E-2"/>
    <b v="1"/>
    <n v="2017"/>
    <x v="1"/>
    <s v="Acquired"/>
    <n v="5"/>
    <n v="29320"/>
    <n v="8"/>
  </r>
  <r>
    <s v="Startup_118"/>
    <x v="4"/>
    <n v="4"/>
    <n v="238700000"/>
    <n v="2484440000"/>
    <n v="78790000"/>
    <n v="907"/>
    <n v="6.3600000000000004E-2"/>
    <b v="0"/>
    <n v="2014"/>
    <x v="1"/>
    <s v="Private"/>
    <n v="10.41"/>
    <n v="86869"/>
    <n v="11"/>
  </r>
  <r>
    <s v="Startup_119"/>
    <x v="0"/>
    <n v="1"/>
    <n v="223650000"/>
    <n v="2074800000"/>
    <n v="62480000"/>
    <n v="369"/>
    <n v="1.3899999999999999E-2"/>
    <b v="0"/>
    <n v="1999"/>
    <x v="2"/>
    <s v="Acquired"/>
    <n v="9.2799999999999994"/>
    <n v="169322"/>
    <n v="26"/>
  </r>
  <r>
    <s v="Startup_12"/>
    <x v="1"/>
    <n v="2"/>
    <n v="234040000"/>
    <n v="1207680000"/>
    <n v="66340000"/>
    <n v="1183"/>
    <n v="0.05"/>
    <b v="0"/>
    <n v="2011"/>
    <x v="0"/>
    <s v="Private"/>
    <n v="5.16"/>
    <n v="56078"/>
    <n v="14"/>
  </r>
  <r>
    <s v="Startup_120"/>
    <x v="6"/>
    <n v="3"/>
    <n v="16940000"/>
    <n v="187040000"/>
    <n v="49500000"/>
    <n v="4263"/>
    <n v="5.6399999999999999E-2"/>
    <b v="0"/>
    <n v="2003"/>
    <x v="0"/>
    <s v="Private"/>
    <n v="11.04"/>
    <n v="11612"/>
    <n v="22"/>
  </r>
  <r>
    <s v="Startup_121"/>
    <x v="5"/>
    <n v="3"/>
    <n v="136820000"/>
    <n v="1936720000"/>
    <n v="97960000"/>
    <n v="3124"/>
    <n v="7.8299999999999995E-2"/>
    <b v="1"/>
    <n v="2019"/>
    <x v="1"/>
    <s v="Private"/>
    <n v="14.16"/>
    <n v="31357"/>
    <n v="6"/>
  </r>
  <r>
    <s v="Startup_122"/>
    <x v="1"/>
    <n v="3"/>
    <n v="156970000"/>
    <n v="1473500000"/>
    <n v="14580000"/>
    <n v="2563"/>
    <n v="7.1099999999999997E-2"/>
    <b v="0"/>
    <n v="2014"/>
    <x v="2"/>
    <s v="Acquired"/>
    <n v="9.39"/>
    <n v="5689"/>
    <n v="11"/>
  </r>
  <r>
    <s v="Startup_123"/>
    <x v="0"/>
    <n v="5"/>
    <n v="193540000"/>
    <n v="1929820000"/>
    <n v="72540000"/>
    <n v="1868"/>
    <n v="1.7999999999999999E-2"/>
    <b v="1"/>
    <n v="2003"/>
    <x v="1"/>
    <s v="IPO"/>
    <n v="9.9700000000000006"/>
    <n v="38833"/>
    <n v="22"/>
  </r>
  <r>
    <s v="Startup_124"/>
    <x v="1"/>
    <n v="2"/>
    <n v="195230000"/>
    <n v="795660000"/>
    <n v="19200000"/>
    <n v="120"/>
    <n v="9.7299999999999998E-2"/>
    <b v="0"/>
    <n v="1999"/>
    <x v="4"/>
    <s v="Private"/>
    <n v="4.08"/>
    <n v="160000"/>
    <n v="26"/>
  </r>
  <r>
    <s v="Startup_125"/>
    <x v="3"/>
    <n v="5"/>
    <n v="109730000"/>
    <n v="1274140000"/>
    <n v="33890000"/>
    <n v="2389"/>
    <n v="4.5400000000000003E-2"/>
    <b v="1"/>
    <n v="2000"/>
    <x v="3"/>
    <s v="Private"/>
    <n v="11.61"/>
    <n v="14186"/>
    <n v="25"/>
  </r>
  <r>
    <s v="Startup_126"/>
    <x v="1"/>
    <n v="2"/>
    <n v="168420000"/>
    <n v="1313480000"/>
    <n v="30940000"/>
    <n v="4981"/>
    <n v="1.67E-2"/>
    <b v="1"/>
    <n v="2000"/>
    <x v="4"/>
    <s v="Private"/>
    <n v="7.8"/>
    <n v="6212"/>
    <n v="25"/>
  </r>
  <r>
    <s v="Startup_127"/>
    <x v="3"/>
    <n v="3"/>
    <n v="144580000"/>
    <n v="2128320000"/>
    <n v="94710000"/>
    <n v="3940"/>
    <n v="1.8800000000000001E-2"/>
    <b v="0"/>
    <n v="2010"/>
    <x v="1"/>
    <s v="Acquired"/>
    <n v="14.72"/>
    <n v="24038"/>
    <n v="15"/>
  </r>
  <r>
    <s v="Startup_128"/>
    <x v="2"/>
    <n v="3"/>
    <n v="265560000"/>
    <n v="3419910000"/>
    <n v="96740000"/>
    <n v="4940"/>
    <n v="1.0699999999999999E-2"/>
    <b v="1"/>
    <n v="2010"/>
    <x v="0"/>
    <s v="Acquired"/>
    <n v="12.88"/>
    <n v="19583"/>
    <n v="15"/>
  </r>
  <r>
    <s v="Startup_129"/>
    <x v="0"/>
    <n v="5"/>
    <n v="159310000"/>
    <n v="1476770000"/>
    <n v="18380000"/>
    <n v="2495"/>
    <n v="8.0500000000000002E-2"/>
    <b v="0"/>
    <n v="2011"/>
    <x v="3"/>
    <s v="Private"/>
    <n v="9.27"/>
    <n v="7367"/>
    <n v="14"/>
  </r>
  <r>
    <s v="Startup_13"/>
    <x v="0"/>
    <n v="3"/>
    <n v="34710000"/>
    <n v="141020000"/>
    <n v="290000"/>
    <n v="4463"/>
    <n v="5.1799999999999999E-2"/>
    <b v="1"/>
    <n v="2012"/>
    <x v="3"/>
    <s v="Acquired"/>
    <n v="4.0599999999999996"/>
    <n v="65"/>
    <n v="13"/>
  </r>
  <r>
    <s v="Startup_130"/>
    <x v="0"/>
    <n v="5"/>
    <n v="132590000"/>
    <n v="593830000"/>
    <n v="2300000"/>
    <n v="947"/>
    <n v="1.3100000000000001E-2"/>
    <b v="1"/>
    <n v="1996"/>
    <x v="4"/>
    <s v="Private"/>
    <n v="4.4800000000000004"/>
    <n v="2429"/>
    <n v="29"/>
  </r>
  <r>
    <s v="Startup_131"/>
    <x v="7"/>
    <n v="2"/>
    <n v="121640000"/>
    <n v="1619390000"/>
    <n v="72030000"/>
    <n v="1729"/>
    <n v="1.34E-2"/>
    <b v="1"/>
    <n v="2006"/>
    <x v="2"/>
    <s v="Acquired"/>
    <n v="13.31"/>
    <n v="41660"/>
    <n v="19"/>
  </r>
  <r>
    <s v="Startup_132"/>
    <x v="5"/>
    <n v="4"/>
    <n v="171940000"/>
    <n v="2165990000"/>
    <n v="41860000"/>
    <n v="2339"/>
    <n v="8.5199999999999998E-2"/>
    <b v="0"/>
    <n v="1991"/>
    <x v="0"/>
    <s v="Private"/>
    <n v="12.6"/>
    <n v="17897"/>
    <n v="34"/>
  </r>
  <r>
    <s v="Startup_133"/>
    <x v="3"/>
    <n v="2"/>
    <n v="241290000"/>
    <n v="1258330000"/>
    <n v="8980000"/>
    <n v="2772"/>
    <n v="3.5099999999999999E-2"/>
    <b v="1"/>
    <n v="2001"/>
    <x v="4"/>
    <s v="Acquired"/>
    <n v="5.22"/>
    <n v="3240"/>
    <n v="24"/>
  </r>
  <r>
    <s v="Startup_134"/>
    <x v="7"/>
    <n v="5"/>
    <n v="161750000"/>
    <n v="1058390000"/>
    <n v="68410000"/>
    <n v="1142"/>
    <n v="4.1000000000000003E-3"/>
    <b v="1"/>
    <n v="2007"/>
    <x v="2"/>
    <s v="Private"/>
    <n v="6.54"/>
    <n v="59904"/>
    <n v="18"/>
  </r>
  <r>
    <s v="Startup_135"/>
    <x v="1"/>
    <n v="5"/>
    <n v="198670000"/>
    <n v="2487520000"/>
    <n v="54560000"/>
    <n v="2532"/>
    <n v="6.1000000000000004E-3"/>
    <b v="0"/>
    <n v="2000"/>
    <x v="1"/>
    <s v="Private"/>
    <n v="12.52"/>
    <n v="21548"/>
    <n v="25"/>
  </r>
  <r>
    <s v="Startup_136"/>
    <x v="1"/>
    <n v="1"/>
    <n v="221490000"/>
    <n v="1156780000"/>
    <n v="98050000"/>
    <n v="4122"/>
    <n v="1.5100000000000001E-2"/>
    <b v="0"/>
    <n v="2005"/>
    <x v="2"/>
    <s v="Private"/>
    <n v="5.22"/>
    <n v="23787"/>
    <n v="20"/>
  </r>
  <r>
    <s v="Startup_137"/>
    <x v="7"/>
    <n v="5"/>
    <n v="156290000"/>
    <n v="2190100000"/>
    <n v="22820000"/>
    <n v="3425"/>
    <n v="2.2100000000000002E-2"/>
    <b v="1"/>
    <n v="2007"/>
    <x v="4"/>
    <s v="Private"/>
    <n v="14.01"/>
    <n v="6663"/>
    <n v="18"/>
  </r>
  <r>
    <s v="Startup_138"/>
    <x v="0"/>
    <n v="1"/>
    <n v="128330000"/>
    <n v="1038750000"/>
    <n v="40460000"/>
    <n v="4783"/>
    <n v="6.6799999999999998E-2"/>
    <b v="1"/>
    <n v="2015"/>
    <x v="4"/>
    <s v="Private"/>
    <n v="8.09"/>
    <n v="8459"/>
    <n v="10"/>
  </r>
  <r>
    <s v="Startup_139"/>
    <x v="1"/>
    <n v="4"/>
    <n v="263060000"/>
    <n v="1063940000"/>
    <n v="54300000"/>
    <n v="3911"/>
    <n v="1.66E-2"/>
    <b v="0"/>
    <n v="2005"/>
    <x v="1"/>
    <s v="Acquired"/>
    <n v="4.04"/>
    <n v="13884"/>
    <n v="20"/>
  </r>
  <r>
    <s v="Startup_14"/>
    <x v="2"/>
    <n v="5"/>
    <n v="169950000"/>
    <n v="720540000"/>
    <n v="17920000"/>
    <n v="1262"/>
    <n v="4.87E-2"/>
    <b v="0"/>
    <n v="2014"/>
    <x v="2"/>
    <s v="Acquired"/>
    <n v="4.24"/>
    <n v="14200"/>
    <n v="11"/>
  </r>
  <r>
    <s v="Startup_140"/>
    <x v="4"/>
    <n v="2"/>
    <n v="125540000"/>
    <n v="1605530000"/>
    <n v="79190000"/>
    <n v="3642"/>
    <n v="1.2800000000000001E-2"/>
    <b v="0"/>
    <n v="1995"/>
    <x v="2"/>
    <s v="Acquired"/>
    <n v="12.79"/>
    <n v="21744"/>
    <n v="30"/>
  </r>
  <r>
    <s v="Startup_141"/>
    <x v="2"/>
    <n v="2"/>
    <n v="138850000"/>
    <n v="1038890000"/>
    <n v="54930000"/>
    <n v="2958"/>
    <n v="7.6700000000000004E-2"/>
    <b v="0"/>
    <n v="2001"/>
    <x v="2"/>
    <s v="Private"/>
    <n v="7.48"/>
    <n v="18570"/>
    <n v="24"/>
  </r>
  <r>
    <s v="Startup_142"/>
    <x v="2"/>
    <n v="1"/>
    <n v="297110000"/>
    <n v="2768470000"/>
    <n v="61330000"/>
    <n v="2372"/>
    <n v="6.7400000000000002E-2"/>
    <b v="0"/>
    <n v="2002"/>
    <x v="1"/>
    <s v="Private"/>
    <n v="9.32"/>
    <n v="25856"/>
    <n v="23"/>
  </r>
  <r>
    <s v="Startup_143"/>
    <x v="4"/>
    <n v="2"/>
    <n v="570000"/>
    <n v="2480000"/>
    <n v="22690000"/>
    <n v="4226"/>
    <n v="4.41E-2"/>
    <b v="0"/>
    <n v="1993"/>
    <x v="2"/>
    <s v="Private"/>
    <n v="4.3499999999999996"/>
    <n v="5369"/>
    <n v="32"/>
  </r>
  <r>
    <s v="Startup_144"/>
    <x v="7"/>
    <n v="5"/>
    <n v="56050000"/>
    <n v="169890000"/>
    <n v="84710000"/>
    <n v="281"/>
    <n v="5.5399999999999998E-2"/>
    <b v="1"/>
    <n v="1991"/>
    <x v="1"/>
    <s v="Private"/>
    <n v="3.03"/>
    <n v="301459"/>
    <n v="34"/>
  </r>
  <r>
    <s v="Startup_145"/>
    <x v="4"/>
    <n v="3"/>
    <n v="115500000"/>
    <n v="1230750000"/>
    <n v="42920000"/>
    <n v="2004"/>
    <n v="3.1899999999999998E-2"/>
    <b v="0"/>
    <n v="2015"/>
    <x v="0"/>
    <s v="Private"/>
    <n v="10.66"/>
    <n v="21417"/>
    <n v="10"/>
  </r>
  <r>
    <s v="Startup_146"/>
    <x v="3"/>
    <n v="1"/>
    <n v="279810000"/>
    <n v="2569240000"/>
    <n v="14180000"/>
    <n v="1232"/>
    <n v="4.8800000000000003E-2"/>
    <b v="1"/>
    <n v="2016"/>
    <x v="4"/>
    <s v="Acquired"/>
    <n v="9.18"/>
    <n v="11510"/>
    <n v="9"/>
  </r>
  <r>
    <s v="Startup_147"/>
    <x v="3"/>
    <n v="2"/>
    <n v="21470000"/>
    <n v="217330000"/>
    <n v="66450000"/>
    <n v="3757"/>
    <n v="5.1200000000000002E-2"/>
    <b v="0"/>
    <n v="2016"/>
    <x v="0"/>
    <s v="Private"/>
    <n v="10.119999999999999"/>
    <n v="17687"/>
    <n v="9"/>
  </r>
  <r>
    <s v="Startup_148"/>
    <x v="7"/>
    <n v="1"/>
    <n v="3340000"/>
    <n v="41830000"/>
    <n v="21690000"/>
    <n v="3740"/>
    <n v="3.9300000000000002E-2"/>
    <b v="0"/>
    <n v="2004"/>
    <x v="3"/>
    <s v="Private"/>
    <n v="12.52"/>
    <n v="5799"/>
    <n v="21"/>
  </r>
  <r>
    <s v="Startup_149"/>
    <x v="4"/>
    <n v="1"/>
    <n v="16280000"/>
    <n v="175160000"/>
    <n v="9850000"/>
    <n v="700"/>
    <n v="9.0800000000000006E-2"/>
    <b v="0"/>
    <n v="1997"/>
    <x v="3"/>
    <s v="Private"/>
    <n v="10.76"/>
    <n v="14071"/>
    <n v="28"/>
  </r>
  <r>
    <s v="Startup_15"/>
    <x v="1"/>
    <n v="1"/>
    <n v="295620000"/>
    <n v="2960940000"/>
    <n v="3000000"/>
    <n v="3639"/>
    <n v="6.3899999999999998E-2"/>
    <b v="1"/>
    <n v="2015"/>
    <x v="4"/>
    <s v="Acquired"/>
    <n v="10.02"/>
    <n v="824"/>
    <n v="10"/>
  </r>
  <r>
    <s v="Startup_150"/>
    <x v="3"/>
    <n v="3"/>
    <n v="27020000"/>
    <n v="137730000"/>
    <n v="86210000"/>
    <n v="1314"/>
    <n v="2.5999999999999999E-3"/>
    <b v="0"/>
    <n v="1996"/>
    <x v="3"/>
    <s v="Private"/>
    <n v="5.0999999999999996"/>
    <n v="65609"/>
    <n v="29"/>
  </r>
  <r>
    <s v="Startup_151"/>
    <x v="0"/>
    <n v="5"/>
    <n v="11760000"/>
    <n v="86190000"/>
    <n v="46070000"/>
    <n v="4157"/>
    <n v="7.8399999999999997E-2"/>
    <b v="1"/>
    <n v="2001"/>
    <x v="1"/>
    <s v="Acquired"/>
    <n v="7.33"/>
    <n v="11083"/>
    <n v="24"/>
  </r>
  <r>
    <s v="Startup_152"/>
    <x v="4"/>
    <n v="1"/>
    <n v="144190000"/>
    <n v="2000020000"/>
    <n v="74950000"/>
    <n v="3239"/>
    <n v="1.3299999999999999E-2"/>
    <b v="1"/>
    <n v="2002"/>
    <x v="2"/>
    <s v="Private"/>
    <n v="13.87"/>
    <n v="23140"/>
    <n v="23"/>
  </r>
  <r>
    <s v="Startup_153"/>
    <x v="0"/>
    <n v="2"/>
    <n v="174440000"/>
    <n v="2135030000"/>
    <n v="29130000"/>
    <n v="4119"/>
    <n v="0.08"/>
    <b v="1"/>
    <n v="2006"/>
    <x v="0"/>
    <s v="Private"/>
    <n v="12.24"/>
    <n v="7072"/>
    <n v="19"/>
  </r>
  <r>
    <s v="Startup_154"/>
    <x v="3"/>
    <n v="4"/>
    <n v="81870000"/>
    <n v="792470000"/>
    <n v="78720000"/>
    <n v="2316"/>
    <n v="6.2E-2"/>
    <b v="1"/>
    <n v="2006"/>
    <x v="0"/>
    <s v="Private"/>
    <n v="9.68"/>
    <n v="33990"/>
    <n v="19"/>
  </r>
  <r>
    <s v="Startup_155"/>
    <x v="2"/>
    <n v="1"/>
    <n v="119790000"/>
    <n v="726850000"/>
    <n v="11280000"/>
    <n v="2846"/>
    <n v="8.4500000000000006E-2"/>
    <b v="1"/>
    <n v="2010"/>
    <x v="0"/>
    <s v="Acquired"/>
    <n v="6.07"/>
    <n v="3963"/>
    <n v="15"/>
  </r>
  <r>
    <s v="Startup_156"/>
    <x v="3"/>
    <n v="1"/>
    <n v="27960000"/>
    <n v="185230000"/>
    <n v="35660000"/>
    <n v="4213"/>
    <n v="1.0699999999999999E-2"/>
    <b v="0"/>
    <n v="1997"/>
    <x v="0"/>
    <s v="Acquired"/>
    <n v="6.62"/>
    <n v="8464"/>
    <n v="28"/>
  </r>
  <r>
    <s v="Startup_157"/>
    <x v="0"/>
    <n v="3"/>
    <n v="101240000"/>
    <n v="1192960000"/>
    <n v="97810000"/>
    <n v="3564"/>
    <n v="5.6300000000000003E-2"/>
    <b v="1"/>
    <n v="1994"/>
    <x v="3"/>
    <s v="IPO"/>
    <n v="11.78"/>
    <n v="27444"/>
    <n v="31"/>
  </r>
  <r>
    <s v="Startup_158"/>
    <x v="6"/>
    <n v="5"/>
    <n v="156990000"/>
    <n v="2074480000"/>
    <n v="79420000"/>
    <n v="3403"/>
    <n v="5.0599999999999999E-2"/>
    <b v="1"/>
    <n v="2015"/>
    <x v="0"/>
    <s v="IPO"/>
    <n v="13.21"/>
    <n v="23338"/>
    <n v="10"/>
  </r>
  <r>
    <s v="Startup_159"/>
    <x v="5"/>
    <n v="4"/>
    <n v="219820000"/>
    <n v="2430570000"/>
    <n v="49780000"/>
    <n v="546"/>
    <n v="7.0900000000000005E-2"/>
    <b v="0"/>
    <n v="2005"/>
    <x v="2"/>
    <s v="Private"/>
    <n v="11.06"/>
    <n v="91172"/>
    <n v="20"/>
  </r>
  <r>
    <s v="Startup_16"/>
    <x v="6"/>
    <n v="2"/>
    <n v="141580000"/>
    <n v="1593980000"/>
    <n v="16770000"/>
    <n v="1846"/>
    <n v="0.01"/>
    <b v="1"/>
    <n v="1994"/>
    <x v="3"/>
    <s v="Private"/>
    <n v="11.26"/>
    <n v="9085"/>
    <n v="31"/>
  </r>
  <r>
    <s v="Startup_160"/>
    <x v="1"/>
    <n v="2"/>
    <n v="1500000"/>
    <n v="19070000"/>
    <n v="34040000"/>
    <n v="2699"/>
    <n v="5.3900000000000003E-2"/>
    <b v="1"/>
    <n v="2017"/>
    <x v="3"/>
    <s v="Private"/>
    <n v="12.71"/>
    <n v="12612"/>
    <n v="8"/>
  </r>
  <r>
    <s v="Startup_161"/>
    <x v="4"/>
    <n v="4"/>
    <n v="140460000"/>
    <n v="1713590000"/>
    <n v="87230000"/>
    <n v="4679"/>
    <n v="5.45E-2"/>
    <b v="0"/>
    <n v="2018"/>
    <x v="0"/>
    <s v="Private"/>
    <n v="12.2"/>
    <n v="18643"/>
    <n v="7"/>
  </r>
  <r>
    <s v="Startup_162"/>
    <x v="6"/>
    <n v="2"/>
    <n v="89450000"/>
    <n v="429040000"/>
    <n v="54530000"/>
    <n v="1093"/>
    <n v="4.3499999999999997E-2"/>
    <b v="0"/>
    <n v="2001"/>
    <x v="1"/>
    <s v="Private"/>
    <n v="4.8"/>
    <n v="49890"/>
    <n v="24"/>
  </r>
  <r>
    <s v="Startup_163"/>
    <x v="3"/>
    <n v="5"/>
    <n v="255920000"/>
    <n v="2069710000"/>
    <n v="75870000"/>
    <n v="3368"/>
    <n v="3.1600000000000003E-2"/>
    <b v="1"/>
    <n v="2019"/>
    <x v="4"/>
    <s v="Private"/>
    <n v="8.09"/>
    <n v="22527"/>
    <n v="6"/>
  </r>
  <r>
    <s v="Startup_164"/>
    <x v="2"/>
    <n v="2"/>
    <n v="214810000"/>
    <n v="1038780000"/>
    <n v="75440000"/>
    <n v="29"/>
    <n v="4.87E-2"/>
    <b v="0"/>
    <n v="2012"/>
    <x v="4"/>
    <s v="IPO"/>
    <n v="4.84"/>
    <n v="2601379"/>
    <n v="13"/>
  </r>
  <r>
    <s v="Startup_165"/>
    <x v="7"/>
    <n v="3"/>
    <n v="176940000"/>
    <n v="1030290000"/>
    <n v="1890000"/>
    <n v="1577"/>
    <n v="1.2699999999999999E-2"/>
    <b v="0"/>
    <n v="2005"/>
    <x v="4"/>
    <s v="Private"/>
    <n v="5.82"/>
    <n v="1198"/>
    <n v="20"/>
  </r>
  <r>
    <s v="Startup_166"/>
    <x v="3"/>
    <n v="3"/>
    <n v="83540000"/>
    <n v="1122040000"/>
    <n v="12710000"/>
    <n v="2963"/>
    <n v="9.6199999999999994E-2"/>
    <b v="1"/>
    <n v="2003"/>
    <x v="3"/>
    <s v="Private"/>
    <n v="13.43"/>
    <n v="4290"/>
    <n v="22"/>
  </r>
  <r>
    <s v="Startup_167"/>
    <x v="2"/>
    <n v="3"/>
    <n v="273150000"/>
    <n v="2369500000"/>
    <n v="66000000"/>
    <n v="4241"/>
    <n v="7.17E-2"/>
    <b v="1"/>
    <n v="1999"/>
    <x v="0"/>
    <s v="Acquired"/>
    <n v="8.67"/>
    <n v="15562"/>
    <n v="26"/>
  </r>
  <r>
    <s v="Startup_168"/>
    <x v="5"/>
    <n v="3"/>
    <n v="14010000"/>
    <n v="132030000"/>
    <n v="16250000"/>
    <n v="1772"/>
    <n v="9.5299999999999996E-2"/>
    <b v="0"/>
    <n v="1996"/>
    <x v="3"/>
    <s v="Acquired"/>
    <n v="9.42"/>
    <n v="9170"/>
    <n v="29"/>
  </r>
  <r>
    <s v="Startup_169"/>
    <x v="3"/>
    <n v="4"/>
    <n v="33290000"/>
    <n v="171160000"/>
    <n v="25620000"/>
    <n v="4748"/>
    <n v="2.3400000000000001E-2"/>
    <b v="1"/>
    <n v="2018"/>
    <x v="2"/>
    <s v="Private"/>
    <n v="5.14"/>
    <n v="5396"/>
    <n v="7"/>
  </r>
  <r>
    <s v="Startup_17"/>
    <x v="4"/>
    <n v="2"/>
    <n v="55040000"/>
    <n v="427580000"/>
    <n v="18210000"/>
    <n v="2314"/>
    <n v="4.1999999999999997E-3"/>
    <b v="0"/>
    <n v="2015"/>
    <x v="0"/>
    <s v="Private"/>
    <n v="7.77"/>
    <n v="7869"/>
    <n v="10"/>
  </r>
  <r>
    <s v="Startup_170"/>
    <x v="0"/>
    <n v="5"/>
    <n v="117790000"/>
    <n v="794760000"/>
    <n v="94670000"/>
    <n v="2240"/>
    <n v="8.8099999999999998E-2"/>
    <b v="0"/>
    <n v="1992"/>
    <x v="1"/>
    <s v="Private"/>
    <n v="6.75"/>
    <n v="42263"/>
    <n v="33"/>
  </r>
  <r>
    <s v="Startup_171"/>
    <x v="7"/>
    <n v="2"/>
    <n v="37770000"/>
    <n v="217670000"/>
    <n v="56060000"/>
    <n v="205"/>
    <n v="8.1100000000000005E-2"/>
    <b v="0"/>
    <n v="2004"/>
    <x v="1"/>
    <s v="Private"/>
    <n v="5.76"/>
    <n v="273463"/>
    <n v="21"/>
  </r>
  <r>
    <s v="Startup_172"/>
    <x v="2"/>
    <n v="2"/>
    <n v="286950000"/>
    <n v="1570830000"/>
    <n v="75100000"/>
    <n v="3203"/>
    <n v="6.8000000000000005E-2"/>
    <b v="1"/>
    <n v="2008"/>
    <x v="4"/>
    <s v="Acquired"/>
    <n v="5.47"/>
    <n v="23447"/>
    <n v="17"/>
  </r>
  <r>
    <s v="Startup_173"/>
    <x v="2"/>
    <n v="3"/>
    <n v="239500000"/>
    <n v="2552000000"/>
    <n v="55840000"/>
    <n v="261"/>
    <n v="6.2899999999999998E-2"/>
    <b v="1"/>
    <n v="2002"/>
    <x v="4"/>
    <s v="Private"/>
    <n v="10.66"/>
    <n v="213946"/>
    <n v="23"/>
  </r>
  <r>
    <s v="Startup_174"/>
    <x v="2"/>
    <n v="3"/>
    <n v="78070000"/>
    <n v="474870000"/>
    <n v="55300000"/>
    <n v="3752"/>
    <n v="3.2300000000000002E-2"/>
    <b v="0"/>
    <n v="2010"/>
    <x v="4"/>
    <s v="Private"/>
    <n v="6.08"/>
    <n v="14739"/>
    <n v="15"/>
  </r>
  <r>
    <s v="Startup_175"/>
    <x v="5"/>
    <n v="1"/>
    <n v="176770000"/>
    <n v="1870970000"/>
    <n v="9510000"/>
    <n v="4647"/>
    <n v="8.1799999999999998E-2"/>
    <b v="1"/>
    <n v="2016"/>
    <x v="0"/>
    <s v="Acquired"/>
    <n v="10.58"/>
    <n v="2046"/>
    <n v="9"/>
  </r>
  <r>
    <s v="Startup_176"/>
    <x v="3"/>
    <n v="5"/>
    <n v="294710000"/>
    <n v="1090860000"/>
    <n v="34430000"/>
    <n v="2246"/>
    <n v="5.0700000000000002E-2"/>
    <b v="1"/>
    <n v="2018"/>
    <x v="2"/>
    <s v="Private"/>
    <n v="3.7"/>
    <n v="15329"/>
    <n v="7"/>
  </r>
  <r>
    <s v="Startup_177"/>
    <x v="5"/>
    <n v="4"/>
    <n v="265320000"/>
    <n v="1247350000"/>
    <n v="28310000"/>
    <n v="3180"/>
    <n v="8.0000000000000002E-3"/>
    <b v="0"/>
    <n v="2009"/>
    <x v="2"/>
    <s v="IPO"/>
    <n v="4.7"/>
    <n v="8903"/>
    <n v="16"/>
  </r>
  <r>
    <s v="Startup_178"/>
    <x v="4"/>
    <n v="2"/>
    <n v="180440000"/>
    <n v="1135780000"/>
    <n v="39130000"/>
    <n v="3611"/>
    <n v="3.2000000000000001E-2"/>
    <b v="0"/>
    <n v="2014"/>
    <x v="2"/>
    <s v="Private"/>
    <n v="6.29"/>
    <n v="10836"/>
    <n v="11"/>
  </r>
  <r>
    <s v="Startup_179"/>
    <x v="1"/>
    <n v="1"/>
    <n v="271170000"/>
    <n v="2756320000"/>
    <n v="79850000"/>
    <n v="3341"/>
    <n v="9.3600000000000003E-2"/>
    <b v="0"/>
    <n v="1995"/>
    <x v="2"/>
    <s v="Acquired"/>
    <n v="10.16"/>
    <n v="23900"/>
    <n v="30"/>
  </r>
  <r>
    <s v="Startup_18"/>
    <x v="2"/>
    <n v="2"/>
    <n v="145690000"/>
    <n v="1276060000"/>
    <n v="38830000"/>
    <n v="915"/>
    <n v="6.7000000000000002E-3"/>
    <b v="1"/>
    <n v="2009"/>
    <x v="3"/>
    <s v="Private"/>
    <n v="8.76"/>
    <n v="42437"/>
    <n v="16"/>
  </r>
  <r>
    <s v="Startup_180"/>
    <x v="1"/>
    <n v="1"/>
    <n v="296760000"/>
    <n v="3297030000"/>
    <n v="37260000"/>
    <n v="4902"/>
    <n v="8.5199999999999998E-2"/>
    <b v="1"/>
    <n v="1991"/>
    <x v="4"/>
    <s v="Acquired"/>
    <n v="11.11"/>
    <n v="7601"/>
    <n v="34"/>
  </r>
  <r>
    <s v="Startup_181"/>
    <x v="4"/>
    <n v="2"/>
    <n v="223130000"/>
    <n v="1854790000"/>
    <n v="45220000"/>
    <n v="418"/>
    <n v="9.8199999999999996E-2"/>
    <b v="1"/>
    <n v="2011"/>
    <x v="1"/>
    <s v="IPO"/>
    <n v="8.31"/>
    <n v="108182"/>
    <n v="14"/>
  </r>
  <r>
    <s v="Startup_182"/>
    <x v="3"/>
    <n v="4"/>
    <n v="19960000"/>
    <n v="166660000"/>
    <n v="39800000"/>
    <n v="2019"/>
    <n v="6.3200000000000006E-2"/>
    <b v="1"/>
    <n v="2021"/>
    <x v="4"/>
    <s v="Acquired"/>
    <n v="8.35"/>
    <n v="19713"/>
    <n v="4"/>
  </r>
  <r>
    <s v="Startup_183"/>
    <x v="0"/>
    <n v="1"/>
    <n v="120770000"/>
    <n v="1412310000"/>
    <n v="9430000"/>
    <n v="1386"/>
    <n v="2.5499999999999998E-2"/>
    <b v="1"/>
    <n v="2005"/>
    <x v="2"/>
    <s v="Private"/>
    <n v="11.69"/>
    <n v="6804"/>
    <n v="20"/>
  </r>
  <r>
    <s v="Startup_184"/>
    <x v="5"/>
    <n v="1"/>
    <n v="251430000"/>
    <n v="802020000"/>
    <n v="44160000"/>
    <n v="1103"/>
    <n v="1.7100000000000001E-2"/>
    <b v="1"/>
    <n v="2007"/>
    <x v="4"/>
    <s v="Acquired"/>
    <n v="3.19"/>
    <n v="40036"/>
    <n v="18"/>
  </r>
  <r>
    <s v="Startup_185"/>
    <x v="7"/>
    <n v="5"/>
    <n v="69560000"/>
    <n v="493390000"/>
    <n v="19640000"/>
    <n v="3431"/>
    <n v="1.95E-2"/>
    <b v="0"/>
    <n v="1994"/>
    <x v="2"/>
    <s v="Private"/>
    <n v="7.09"/>
    <n v="5724"/>
    <n v="31"/>
  </r>
  <r>
    <s v="Startup_186"/>
    <x v="2"/>
    <n v="4"/>
    <n v="249280000"/>
    <n v="3196890000"/>
    <n v="18750000"/>
    <n v="3660"/>
    <n v="3.0000000000000001E-3"/>
    <b v="0"/>
    <n v="2019"/>
    <x v="3"/>
    <s v="Acquired"/>
    <n v="12.82"/>
    <n v="5123"/>
    <n v="6"/>
  </r>
  <r>
    <s v="Startup_187"/>
    <x v="2"/>
    <n v="1"/>
    <n v="36540000"/>
    <n v="374120000"/>
    <n v="9490000"/>
    <n v="914"/>
    <n v="3.9699999999999999E-2"/>
    <b v="0"/>
    <n v="2008"/>
    <x v="1"/>
    <s v="Private"/>
    <n v="10.24"/>
    <n v="10383"/>
    <n v="17"/>
  </r>
  <r>
    <s v="Startup_188"/>
    <x v="3"/>
    <n v="4"/>
    <n v="14560000"/>
    <n v="102600000"/>
    <n v="35730000"/>
    <n v="192"/>
    <n v="0.02"/>
    <b v="0"/>
    <n v="2012"/>
    <x v="3"/>
    <s v="Private"/>
    <n v="7.05"/>
    <n v="186094"/>
    <n v="13"/>
  </r>
  <r>
    <s v="Startup_189"/>
    <x v="0"/>
    <n v="2"/>
    <n v="115540000"/>
    <n v="1602110000"/>
    <n v="75770000"/>
    <n v="4049"/>
    <n v="4.1799999999999997E-2"/>
    <b v="1"/>
    <n v="2002"/>
    <x v="0"/>
    <s v="Acquired"/>
    <n v="13.87"/>
    <n v="18713"/>
    <n v="23"/>
  </r>
  <r>
    <s v="Startup_19"/>
    <x v="4"/>
    <n v="3"/>
    <n v="153980000"/>
    <n v="1729440000"/>
    <n v="40290000"/>
    <n v="4345"/>
    <n v="4.4999999999999998E-2"/>
    <b v="0"/>
    <n v="1995"/>
    <x v="1"/>
    <s v="Acquired"/>
    <n v="11.23"/>
    <n v="9273"/>
    <n v="30"/>
  </r>
  <r>
    <s v="Startup_190"/>
    <x v="1"/>
    <n v="3"/>
    <n v="11500000"/>
    <n v="141120000"/>
    <n v="27720000"/>
    <n v="3761"/>
    <n v="9.3600000000000003E-2"/>
    <b v="1"/>
    <n v="2018"/>
    <x v="4"/>
    <s v="Private"/>
    <n v="12.27"/>
    <n v="7370"/>
    <n v="7"/>
  </r>
  <r>
    <s v="Startup_191"/>
    <x v="1"/>
    <n v="1"/>
    <n v="287200000"/>
    <n v="1774540000"/>
    <n v="31300000"/>
    <n v="2020"/>
    <n v="4.36E-2"/>
    <b v="0"/>
    <n v="2011"/>
    <x v="0"/>
    <s v="IPO"/>
    <n v="6.18"/>
    <n v="15495"/>
    <n v="14"/>
  </r>
  <r>
    <s v="Startup_192"/>
    <x v="2"/>
    <n v="5"/>
    <n v="247950000"/>
    <n v="2663850000"/>
    <n v="64300000"/>
    <n v="2097"/>
    <n v="8.7900000000000006E-2"/>
    <b v="0"/>
    <n v="1998"/>
    <x v="4"/>
    <s v="Private"/>
    <n v="10.74"/>
    <n v="30663"/>
    <n v="27"/>
  </r>
  <r>
    <s v="Startup_193"/>
    <x v="3"/>
    <n v="2"/>
    <n v="240330000"/>
    <n v="2439110000"/>
    <n v="19660000"/>
    <n v="3649"/>
    <n v="6.0900000000000003E-2"/>
    <b v="1"/>
    <n v="2008"/>
    <x v="3"/>
    <s v="Private"/>
    <n v="10.15"/>
    <n v="5388"/>
    <n v="17"/>
  </r>
  <r>
    <s v="Startup_194"/>
    <x v="5"/>
    <n v="4"/>
    <n v="189120000"/>
    <n v="1477830000"/>
    <n v="89710000"/>
    <n v="2135"/>
    <n v="2.5499999999999998E-2"/>
    <b v="0"/>
    <n v="1995"/>
    <x v="2"/>
    <s v="Private"/>
    <n v="7.81"/>
    <n v="42019"/>
    <n v="30"/>
  </r>
  <r>
    <s v="Startup_195"/>
    <x v="1"/>
    <n v="2"/>
    <n v="65290000"/>
    <n v="483370000"/>
    <n v="52070000"/>
    <n v="362"/>
    <n v="3.6200000000000003E-2"/>
    <b v="0"/>
    <n v="2004"/>
    <x v="2"/>
    <s v="Private"/>
    <n v="7.4"/>
    <n v="143840"/>
    <n v="21"/>
  </r>
  <r>
    <s v="Startup_196"/>
    <x v="5"/>
    <n v="1"/>
    <n v="155720000"/>
    <n v="1109150000"/>
    <n v="44820000"/>
    <n v="2427"/>
    <n v="9.2999999999999992E-3"/>
    <b v="0"/>
    <n v="2009"/>
    <x v="4"/>
    <s v="Private"/>
    <n v="7.12"/>
    <n v="18467"/>
    <n v="16"/>
  </r>
  <r>
    <s v="Startup_197"/>
    <x v="0"/>
    <n v="4"/>
    <n v="179380000"/>
    <n v="1866600000"/>
    <n v="55830000"/>
    <n v="4262"/>
    <n v="3.4000000000000002E-2"/>
    <b v="0"/>
    <n v="1998"/>
    <x v="2"/>
    <s v="Acquired"/>
    <n v="10.41"/>
    <n v="13099"/>
    <n v="27"/>
  </r>
  <r>
    <s v="Startup_198"/>
    <x v="1"/>
    <n v="3"/>
    <n v="157750000"/>
    <n v="1310730000"/>
    <n v="16690000"/>
    <n v="4550"/>
    <n v="6.8099999999999994E-2"/>
    <b v="1"/>
    <n v="2021"/>
    <x v="3"/>
    <s v="Acquired"/>
    <n v="8.31"/>
    <n v="3668"/>
    <n v="4"/>
  </r>
  <r>
    <s v="Startup_199"/>
    <x v="1"/>
    <n v="2"/>
    <n v="78440000"/>
    <n v="1018340000"/>
    <n v="61390000"/>
    <n v="1502"/>
    <n v="8.0999999999999996E-3"/>
    <b v="0"/>
    <n v="1993"/>
    <x v="2"/>
    <s v="Private"/>
    <n v="12.98"/>
    <n v="40872"/>
    <n v="32"/>
  </r>
  <r>
    <s v="Startup_2"/>
    <x v="3"/>
    <n v="1"/>
    <n v="247620000"/>
    <n v="3310830000"/>
    <n v="75650000"/>
    <n v="3280"/>
    <n v="8.1000000000000003E-2"/>
    <b v="1"/>
    <n v="2003"/>
    <x v="2"/>
    <s v="Private"/>
    <n v="13.37"/>
    <n v="23064"/>
    <n v="22"/>
  </r>
  <r>
    <s v="Startup_20"/>
    <x v="1"/>
    <n v="5"/>
    <n v="222640000"/>
    <n v="714350000"/>
    <n v="87440000"/>
    <n v="4642"/>
    <n v="2.8299999999999999E-2"/>
    <b v="0"/>
    <n v="1995"/>
    <x v="0"/>
    <s v="Private"/>
    <n v="3.21"/>
    <n v="18837"/>
    <n v="30"/>
  </r>
  <r>
    <s v="Startup_200"/>
    <x v="6"/>
    <n v="1"/>
    <n v="154820000"/>
    <n v="1708470000"/>
    <n v="36370000"/>
    <n v="2163"/>
    <n v="2.1299999999999999E-2"/>
    <b v="0"/>
    <n v="2007"/>
    <x v="3"/>
    <s v="Private"/>
    <n v="11.04"/>
    <n v="16815"/>
    <n v="18"/>
  </r>
  <r>
    <s v="Startup_201"/>
    <x v="1"/>
    <n v="5"/>
    <n v="147610000"/>
    <n v="566700000"/>
    <n v="89730000"/>
    <n v="2560"/>
    <n v="3.8800000000000001E-2"/>
    <b v="0"/>
    <n v="1994"/>
    <x v="0"/>
    <s v="Private"/>
    <n v="3.84"/>
    <n v="35051"/>
    <n v="31"/>
  </r>
  <r>
    <s v="Startup_202"/>
    <x v="4"/>
    <n v="4"/>
    <n v="298900000"/>
    <n v="3192860000"/>
    <n v="16970000"/>
    <n v="2347"/>
    <n v="9.8199999999999996E-2"/>
    <b v="1"/>
    <n v="2009"/>
    <x v="3"/>
    <s v="Private"/>
    <n v="10.68"/>
    <n v="7231"/>
    <n v="16"/>
  </r>
  <r>
    <s v="Startup_203"/>
    <x v="7"/>
    <n v="2"/>
    <n v="269280000"/>
    <n v="1684010000"/>
    <n v="50750000"/>
    <n v="2956"/>
    <n v="7.8700000000000006E-2"/>
    <b v="0"/>
    <n v="2012"/>
    <x v="1"/>
    <s v="Private"/>
    <n v="6.25"/>
    <n v="17168"/>
    <n v="13"/>
  </r>
  <r>
    <s v="Startup_204"/>
    <x v="4"/>
    <n v="2"/>
    <n v="139280000"/>
    <n v="1408640000"/>
    <n v="59850000"/>
    <n v="1243"/>
    <n v="7.3599999999999999E-2"/>
    <b v="0"/>
    <n v="2000"/>
    <x v="1"/>
    <s v="Private"/>
    <n v="10.11"/>
    <n v="48150"/>
    <n v="25"/>
  </r>
  <r>
    <s v="Startup_205"/>
    <x v="3"/>
    <n v="3"/>
    <n v="187070000"/>
    <n v="2088000000"/>
    <n v="3440000"/>
    <n v="978"/>
    <n v="1.2500000000000001E-2"/>
    <b v="0"/>
    <n v="2011"/>
    <x v="1"/>
    <s v="Private"/>
    <n v="11.16"/>
    <n v="3517"/>
    <n v="14"/>
  </r>
  <r>
    <s v="Startup_206"/>
    <x v="3"/>
    <n v="3"/>
    <n v="224490000"/>
    <n v="1295300000"/>
    <n v="36430000"/>
    <n v="4732"/>
    <n v="7.8299999999999995E-2"/>
    <b v="0"/>
    <n v="1993"/>
    <x v="4"/>
    <s v="Private"/>
    <n v="5.77"/>
    <n v="7699"/>
    <n v="32"/>
  </r>
  <r>
    <s v="Startup_207"/>
    <x v="5"/>
    <n v="5"/>
    <n v="10940000"/>
    <n v="92800000"/>
    <n v="73290000"/>
    <n v="3970"/>
    <n v="7.8700000000000006E-2"/>
    <b v="0"/>
    <n v="2018"/>
    <x v="4"/>
    <s v="Private"/>
    <n v="8.48"/>
    <n v="18461"/>
    <n v="7"/>
  </r>
  <r>
    <s v="Startup_208"/>
    <x v="4"/>
    <n v="5"/>
    <n v="268530000"/>
    <n v="1418890000"/>
    <n v="82060000"/>
    <n v="1055"/>
    <n v="6.0499999999999998E-2"/>
    <b v="1"/>
    <n v="2002"/>
    <x v="4"/>
    <s v="Acquired"/>
    <n v="5.28"/>
    <n v="77782"/>
    <n v="23"/>
  </r>
  <r>
    <s v="Startup_209"/>
    <x v="4"/>
    <n v="1"/>
    <n v="258110000"/>
    <n v="936440000"/>
    <n v="31380000"/>
    <n v="3706"/>
    <n v="9.9000000000000005E-2"/>
    <b v="0"/>
    <n v="1998"/>
    <x v="3"/>
    <s v="IPO"/>
    <n v="3.63"/>
    <n v="8467"/>
    <n v="27"/>
  </r>
  <r>
    <s v="Startup_21"/>
    <x v="4"/>
    <n v="5"/>
    <n v="209800000"/>
    <n v="1442910000"/>
    <n v="51060000"/>
    <n v="4014"/>
    <n v="6.2600000000000003E-2"/>
    <b v="1"/>
    <n v="2007"/>
    <x v="1"/>
    <s v="Private"/>
    <n v="6.88"/>
    <n v="12720"/>
    <n v="18"/>
  </r>
  <r>
    <s v="Startup_210"/>
    <x v="4"/>
    <n v="1"/>
    <n v="137500000"/>
    <n v="1036990000"/>
    <n v="79880000"/>
    <n v="2785"/>
    <n v="3.32E-2"/>
    <b v="0"/>
    <n v="2020"/>
    <x v="4"/>
    <s v="Private"/>
    <n v="7.54"/>
    <n v="28682"/>
    <n v="5"/>
  </r>
  <r>
    <s v="Startup_211"/>
    <x v="0"/>
    <n v="5"/>
    <n v="117660000"/>
    <n v="865430000"/>
    <n v="96780000"/>
    <n v="1593"/>
    <n v="9.4200000000000006E-2"/>
    <b v="1"/>
    <n v="1996"/>
    <x v="0"/>
    <s v="IPO"/>
    <n v="7.36"/>
    <n v="60753"/>
    <n v="29"/>
  </r>
  <r>
    <s v="Startup_212"/>
    <x v="1"/>
    <n v="5"/>
    <n v="82250000"/>
    <n v="1229290000"/>
    <n v="85700000"/>
    <n v="3883"/>
    <n v="9.1600000000000001E-2"/>
    <b v="0"/>
    <n v="1993"/>
    <x v="1"/>
    <s v="Private"/>
    <n v="14.95"/>
    <n v="22071"/>
    <n v="32"/>
  </r>
  <r>
    <s v="Startup_213"/>
    <x v="7"/>
    <n v="4"/>
    <n v="143260000"/>
    <n v="1197110000"/>
    <n v="11850000"/>
    <n v="2373"/>
    <n v="2.0999999999999999E-3"/>
    <b v="0"/>
    <n v="2008"/>
    <x v="3"/>
    <s v="Private"/>
    <n v="8.36"/>
    <n v="4994"/>
    <n v="17"/>
  </r>
  <r>
    <s v="Startup_214"/>
    <x v="5"/>
    <n v="3"/>
    <n v="13790000"/>
    <n v="96570000"/>
    <n v="74000000"/>
    <n v="441"/>
    <n v="4.5600000000000002E-2"/>
    <b v="0"/>
    <n v="2019"/>
    <x v="1"/>
    <s v="Private"/>
    <n v="7"/>
    <n v="167800"/>
    <n v="6"/>
  </r>
  <r>
    <s v="Startup_215"/>
    <x v="4"/>
    <n v="1"/>
    <n v="255730000"/>
    <n v="2548530000"/>
    <n v="32030000"/>
    <n v="2833"/>
    <n v="9.7699999999999995E-2"/>
    <b v="1"/>
    <n v="2020"/>
    <x v="4"/>
    <s v="Private"/>
    <n v="9.9700000000000006"/>
    <n v="11306"/>
    <n v="5"/>
  </r>
  <r>
    <s v="Startup_216"/>
    <x v="4"/>
    <n v="3"/>
    <n v="11110000"/>
    <n v="45160000"/>
    <n v="98840000"/>
    <n v="1561"/>
    <n v="1.12E-2"/>
    <b v="0"/>
    <n v="2010"/>
    <x v="3"/>
    <s v="Private"/>
    <n v="4.0599999999999996"/>
    <n v="63318"/>
    <n v="15"/>
  </r>
  <r>
    <s v="Startup_217"/>
    <x v="6"/>
    <n v="3"/>
    <n v="99050000"/>
    <n v="1440190000"/>
    <n v="48590000"/>
    <n v="3863"/>
    <n v="5.5199999999999999E-2"/>
    <b v="1"/>
    <n v="2020"/>
    <x v="2"/>
    <s v="Private"/>
    <n v="14.54"/>
    <n v="12578"/>
    <n v="5"/>
  </r>
  <r>
    <s v="Startup_218"/>
    <x v="5"/>
    <n v="5"/>
    <n v="279510000"/>
    <n v="2968260000"/>
    <n v="12330000"/>
    <n v="1309"/>
    <n v="9.7900000000000001E-2"/>
    <b v="1"/>
    <n v="2008"/>
    <x v="0"/>
    <s v="Private"/>
    <n v="10.62"/>
    <n v="9419"/>
    <n v="17"/>
  </r>
  <r>
    <s v="Startup_219"/>
    <x v="4"/>
    <n v="4"/>
    <n v="220700000"/>
    <n v="2661210000"/>
    <n v="72550000"/>
    <n v="2389"/>
    <n v="5.6000000000000001E-2"/>
    <b v="0"/>
    <n v="2020"/>
    <x v="4"/>
    <s v="Private"/>
    <n v="12.06"/>
    <n v="30368"/>
    <n v="5"/>
  </r>
  <r>
    <s v="Startup_22"/>
    <x v="0"/>
    <n v="1"/>
    <n v="121060000"/>
    <n v="1776820000"/>
    <n v="72370000"/>
    <n v="2174"/>
    <n v="9.9299999999999999E-2"/>
    <b v="0"/>
    <n v="1993"/>
    <x v="0"/>
    <s v="Private"/>
    <n v="14.68"/>
    <n v="33289"/>
    <n v="32"/>
  </r>
  <r>
    <s v="Startup_220"/>
    <x v="5"/>
    <n v="2"/>
    <n v="84780000"/>
    <n v="427780000"/>
    <n v="32370000"/>
    <n v="187"/>
    <n v="1.9800000000000002E-2"/>
    <b v="1"/>
    <n v="2021"/>
    <x v="4"/>
    <s v="Private"/>
    <n v="5.05"/>
    <n v="173102"/>
    <n v="4"/>
  </r>
  <r>
    <s v="Startup_221"/>
    <x v="1"/>
    <n v="4"/>
    <n v="76170000"/>
    <n v="602790000"/>
    <n v="99710000"/>
    <n v="1594"/>
    <n v="5.8599999999999999E-2"/>
    <b v="0"/>
    <n v="1991"/>
    <x v="0"/>
    <s v="Private"/>
    <n v="7.91"/>
    <n v="62553"/>
    <n v="34"/>
  </r>
  <r>
    <s v="Startup_222"/>
    <x v="6"/>
    <n v="4"/>
    <n v="2020000"/>
    <n v="16310000"/>
    <n v="97980000"/>
    <n v="1592"/>
    <n v="2.12E-2"/>
    <b v="0"/>
    <n v="1999"/>
    <x v="0"/>
    <s v="Private"/>
    <n v="8.07"/>
    <n v="61545"/>
    <n v="26"/>
  </r>
  <r>
    <s v="Startup_223"/>
    <x v="5"/>
    <n v="3"/>
    <n v="208870000"/>
    <n v="2686420000"/>
    <n v="65650000"/>
    <n v="664"/>
    <n v="5.2499999999999998E-2"/>
    <b v="1"/>
    <n v="1991"/>
    <x v="2"/>
    <s v="Private"/>
    <n v="12.86"/>
    <n v="98870"/>
    <n v="34"/>
  </r>
  <r>
    <s v="Startup_224"/>
    <x v="7"/>
    <n v="4"/>
    <n v="15110000"/>
    <n v="45550000"/>
    <n v="13070000"/>
    <n v="164"/>
    <n v="8.3000000000000001E-3"/>
    <b v="1"/>
    <n v="1991"/>
    <x v="4"/>
    <s v="Private"/>
    <n v="3.01"/>
    <n v="79695"/>
    <n v="34"/>
  </r>
  <r>
    <s v="Startup_225"/>
    <x v="7"/>
    <n v="1"/>
    <n v="160010000"/>
    <n v="1057700000"/>
    <n v="68720000"/>
    <n v="3958"/>
    <n v="6.0900000000000003E-2"/>
    <b v="1"/>
    <n v="2013"/>
    <x v="4"/>
    <s v="Private"/>
    <n v="6.61"/>
    <n v="17362"/>
    <n v="12"/>
  </r>
  <r>
    <s v="Startup_226"/>
    <x v="3"/>
    <n v="3"/>
    <n v="288660000"/>
    <n v="4264900000"/>
    <n v="9390000"/>
    <n v="1016"/>
    <n v="5.2200000000000003E-2"/>
    <b v="0"/>
    <n v="2006"/>
    <x v="1"/>
    <s v="Private"/>
    <n v="14.77"/>
    <n v="9242"/>
    <n v="19"/>
  </r>
  <r>
    <s v="Startup_227"/>
    <x v="6"/>
    <n v="1"/>
    <n v="33290000"/>
    <n v="289580000"/>
    <n v="3030000"/>
    <n v="57"/>
    <n v="7.4300000000000005E-2"/>
    <b v="0"/>
    <n v="2021"/>
    <x v="3"/>
    <s v="Private"/>
    <n v="8.6999999999999993"/>
    <n v="53158"/>
    <n v="4"/>
  </r>
  <r>
    <s v="Startup_228"/>
    <x v="6"/>
    <n v="2"/>
    <n v="268400000"/>
    <n v="2037240000"/>
    <n v="82310000"/>
    <n v="2312"/>
    <n v="6.3399999999999998E-2"/>
    <b v="1"/>
    <n v="2005"/>
    <x v="3"/>
    <s v="Private"/>
    <n v="7.59"/>
    <n v="35601"/>
    <n v="20"/>
  </r>
  <r>
    <s v="Startup_229"/>
    <x v="3"/>
    <n v="3"/>
    <n v="297450000"/>
    <n v="1320070000"/>
    <n v="21050000"/>
    <n v="1233"/>
    <n v="5.5399999999999998E-2"/>
    <b v="0"/>
    <n v="2005"/>
    <x v="1"/>
    <s v="Private"/>
    <n v="4.4400000000000004"/>
    <n v="17072"/>
    <n v="20"/>
  </r>
  <r>
    <s v="Startup_23"/>
    <x v="2"/>
    <n v="1"/>
    <n v="65800000"/>
    <n v="655460000"/>
    <n v="10500000"/>
    <n v="2177"/>
    <n v="3.9199999999999999E-2"/>
    <b v="0"/>
    <n v="2006"/>
    <x v="3"/>
    <s v="Private"/>
    <n v="9.9600000000000009"/>
    <n v="4823"/>
    <n v="19"/>
  </r>
  <r>
    <s v="Startup_230"/>
    <x v="5"/>
    <n v="2"/>
    <n v="18920000"/>
    <n v="277930000"/>
    <n v="37960000"/>
    <n v="1040"/>
    <n v="6.93E-2"/>
    <b v="0"/>
    <n v="2020"/>
    <x v="3"/>
    <s v="Private"/>
    <n v="14.69"/>
    <n v="36500"/>
    <n v="5"/>
  </r>
  <r>
    <s v="Startup_231"/>
    <x v="6"/>
    <n v="3"/>
    <n v="264930000"/>
    <n v="858460000"/>
    <n v="97350000"/>
    <n v="3707"/>
    <n v="1.5299999999999999E-2"/>
    <b v="0"/>
    <n v="2013"/>
    <x v="0"/>
    <s v="Private"/>
    <n v="3.24"/>
    <n v="26261"/>
    <n v="12"/>
  </r>
  <r>
    <s v="Startup_232"/>
    <x v="7"/>
    <n v="5"/>
    <n v="155070000"/>
    <n v="1836980000"/>
    <n v="33750000"/>
    <n v="4050"/>
    <n v="5.9900000000000002E-2"/>
    <b v="0"/>
    <n v="1990"/>
    <x v="3"/>
    <s v="Private"/>
    <n v="11.85"/>
    <n v="8333"/>
    <n v="35"/>
  </r>
  <r>
    <s v="Startup_233"/>
    <x v="7"/>
    <n v="4"/>
    <n v="272000000"/>
    <n v="3324710000"/>
    <n v="29720000"/>
    <n v="4950"/>
    <n v="1.7999999999999999E-2"/>
    <b v="1"/>
    <n v="2000"/>
    <x v="3"/>
    <s v="Private"/>
    <n v="12.22"/>
    <n v="6004"/>
    <n v="25"/>
  </r>
  <r>
    <s v="Startup_234"/>
    <x v="4"/>
    <n v="5"/>
    <n v="171610000"/>
    <n v="1016600000"/>
    <n v="91830000"/>
    <n v="4454"/>
    <n v="9.2600000000000002E-2"/>
    <b v="0"/>
    <n v="2010"/>
    <x v="1"/>
    <s v="Private"/>
    <n v="5.92"/>
    <n v="20617"/>
    <n v="15"/>
  </r>
  <r>
    <s v="Startup_235"/>
    <x v="1"/>
    <n v="2"/>
    <n v="198800000"/>
    <n v="2198470000"/>
    <n v="11160000"/>
    <n v="1269"/>
    <n v="7.7999999999999996E-3"/>
    <b v="1"/>
    <n v="1993"/>
    <x v="2"/>
    <s v="Acquired"/>
    <n v="11.06"/>
    <n v="8794"/>
    <n v="32"/>
  </r>
  <r>
    <s v="Startup_236"/>
    <x v="6"/>
    <n v="4"/>
    <n v="163360000"/>
    <n v="672250000"/>
    <n v="75980000"/>
    <n v="1889"/>
    <n v="4.36E-2"/>
    <b v="0"/>
    <n v="1996"/>
    <x v="3"/>
    <s v="Private"/>
    <n v="4.12"/>
    <n v="40222"/>
    <n v="29"/>
  </r>
  <r>
    <s v="Startup_237"/>
    <x v="5"/>
    <n v="3"/>
    <n v="259420000"/>
    <n v="1578460000"/>
    <n v="98810000"/>
    <n v="1814"/>
    <n v="6.9900000000000004E-2"/>
    <b v="1"/>
    <n v="2015"/>
    <x v="3"/>
    <s v="Private"/>
    <n v="6.08"/>
    <n v="54471"/>
    <n v="10"/>
  </r>
  <r>
    <s v="Startup_238"/>
    <x v="3"/>
    <n v="4"/>
    <n v="220310000"/>
    <n v="2743920000"/>
    <n v="90140000"/>
    <n v="3172"/>
    <n v="4.6300000000000001E-2"/>
    <b v="0"/>
    <n v="2001"/>
    <x v="2"/>
    <s v="Private"/>
    <n v="12.45"/>
    <n v="28417"/>
    <n v="24"/>
  </r>
  <r>
    <s v="Startup_239"/>
    <x v="3"/>
    <n v="1"/>
    <n v="156620000"/>
    <n v="2094990000"/>
    <n v="65200000"/>
    <n v="3802"/>
    <n v="1.01E-2"/>
    <b v="0"/>
    <n v="2020"/>
    <x v="1"/>
    <s v="Private"/>
    <n v="13.38"/>
    <n v="17149"/>
    <n v="5"/>
  </r>
  <r>
    <s v="Startup_24"/>
    <x v="0"/>
    <n v="2"/>
    <n v="193690000"/>
    <n v="1171960000"/>
    <n v="22620000"/>
    <n v="128"/>
    <n v="5.7799999999999997E-2"/>
    <b v="0"/>
    <n v="2003"/>
    <x v="2"/>
    <s v="Private"/>
    <n v="6.05"/>
    <n v="176719"/>
    <n v="22"/>
  </r>
  <r>
    <s v="Startup_240"/>
    <x v="5"/>
    <n v="4"/>
    <n v="260510000"/>
    <n v="2683730000"/>
    <n v="31470000"/>
    <n v="2346"/>
    <n v="5.5800000000000002E-2"/>
    <b v="0"/>
    <n v="2006"/>
    <x v="2"/>
    <s v="Private"/>
    <n v="10.3"/>
    <n v="13414"/>
    <n v="19"/>
  </r>
  <r>
    <s v="Startup_241"/>
    <x v="0"/>
    <n v="1"/>
    <n v="73960000"/>
    <n v="671710000"/>
    <n v="25510000"/>
    <n v="3419"/>
    <n v="6.4500000000000002E-2"/>
    <b v="0"/>
    <n v="2022"/>
    <x v="1"/>
    <s v="Private"/>
    <n v="9.08"/>
    <n v="7461"/>
    <n v="3"/>
  </r>
  <r>
    <s v="Startup_242"/>
    <x v="2"/>
    <n v="4"/>
    <n v="47620000"/>
    <n v="233890000"/>
    <n v="81940000"/>
    <n v="822"/>
    <n v="7.0699999999999999E-2"/>
    <b v="0"/>
    <n v="2000"/>
    <x v="0"/>
    <s v="Acquired"/>
    <n v="4.91"/>
    <n v="99684"/>
    <n v="25"/>
  </r>
  <r>
    <s v="Startup_243"/>
    <x v="1"/>
    <n v="1"/>
    <n v="48540000"/>
    <n v="182380000"/>
    <n v="87990000"/>
    <n v="2442"/>
    <n v="3.7999999999999999E-2"/>
    <b v="1"/>
    <n v="2017"/>
    <x v="1"/>
    <s v="Private"/>
    <n v="3.76"/>
    <n v="36032"/>
    <n v="8"/>
  </r>
  <r>
    <s v="Startup_244"/>
    <x v="3"/>
    <n v="2"/>
    <n v="100540000"/>
    <n v="443560000"/>
    <n v="52590000"/>
    <n v="893"/>
    <n v="5.6800000000000003E-2"/>
    <b v="1"/>
    <n v="2021"/>
    <x v="0"/>
    <s v="Private"/>
    <n v="4.41"/>
    <n v="58891"/>
    <n v="4"/>
  </r>
  <r>
    <s v="Startup_245"/>
    <x v="6"/>
    <n v="5"/>
    <n v="71990000"/>
    <n v="412380000"/>
    <n v="24510000"/>
    <n v="672"/>
    <n v="4.5600000000000002E-2"/>
    <b v="0"/>
    <n v="1990"/>
    <x v="0"/>
    <s v="IPO"/>
    <n v="5.73"/>
    <n v="36473"/>
    <n v="35"/>
  </r>
  <r>
    <s v="Startup_246"/>
    <x v="1"/>
    <n v="3"/>
    <n v="279060000"/>
    <n v="1981350000"/>
    <n v="11380000"/>
    <n v="4733"/>
    <n v="6.7500000000000004E-2"/>
    <b v="0"/>
    <n v="2017"/>
    <x v="1"/>
    <s v="IPO"/>
    <n v="7.1"/>
    <n v="2404"/>
    <n v="8"/>
  </r>
  <r>
    <s v="Startup_247"/>
    <x v="6"/>
    <n v="4"/>
    <n v="32200000"/>
    <n v="243780000"/>
    <n v="8810000"/>
    <n v="2629"/>
    <n v="5.8799999999999998E-2"/>
    <b v="0"/>
    <n v="1996"/>
    <x v="4"/>
    <s v="Private"/>
    <n v="7.57"/>
    <n v="3351"/>
    <n v="29"/>
  </r>
  <r>
    <s v="Startup_248"/>
    <x v="0"/>
    <n v="5"/>
    <n v="209850000"/>
    <n v="1501660000"/>
    <n v="71940000"/>
    <n v="4237"/>
    <n v="5.2999999999999999E-2"/>
    <b v="0"/>
    <n v="1991"/>
    <x v="1"/>
    <s v="Private"/>
    <n v="7.16"/>
    <n v="16979"/>
    <n v="34"/>
  </r>
  <r>
    <s v="Startup_249"/>
    <x v="7"/>
    <n v="3"/>
    <n v="57170000"/>
    <n v="335510000"/>
    <n v="42070000"/>
    <n v="4528"/>
    <n v="2.5700000000000001E-2"/>
    <b v="1"/>
    <n v="2013"/>
    <x v="3"/>
    <s v="IPO"/>
    <n v="5.87"/>
    <n v="9291"/>
    <n v="12"/>
  </r>
  <r>
    <s v="Startup_25"/>
    <x v="1"/>
    <n v="1"/>
    <n v="126800000"/>
    <n v="1174260000"/>
    <n v="70320000"/>
    <n v="3163"/>
    <n v="4.2099999999999999E-2"/>
    <b v="0"/>
    <n v="2003"/>
    <x v="4"/>
    <s v="Acquired"/>
    <n v="9.26"/>
    <n v="22232"/>
    <n v="22"/>
  </r>
  <r>
    <s v="Startup_250"/>
    <x v="1"/>
    <n v="3"/>
    <n v="264550000"/>
    <n v="2411820000"/>
    <n v="90550000"/>
    <n v="823"/>
    <n v="1.1999999999999999E-3"/>
    <b v="1"/>
    <n v="1993"/>
    <x v="3"/>
    <s v="Private"/>
    <n v="9.1199999999999992"/>
    <n v="110024"/>
    <n v="32"/>
  </r>
  <r>
    <s v="Startup_251"/>
    <x v="4"/>
    <n v="1"/>
    <n v="288410000"/>
    <n v="3721480000"/>
    <n v="73990000"/>
    <n v="2193"/>
    <n v="1.8200000000000001E-2"/>
    <b v="0"/>
    <n v="2008"/>
    <x v="4"/>
    <s v="Private"/>
    <n v="12.9"/>
    <n v="33739"/>
    <n v="17"/>
  </r>
  <r>
    <s v="Startup_252"/>
    <x v="3"/>
    <n v="2"/>
    <n v="139910000"/>
    <n v="889330000"/>
    <n v="19210000"/>
    <n v="1111"/>
    <n v="1.26E-2"/>
    <b v="0"/>
    <n v="2015"/>
    <x v="0"/>
    <s v="Private"/>
    <n v="6.36"/>
    <n v="17291"/>
    <n v="10"/>
  </r>
  <r>
    <s v="Startup_253"/>
    <x v="1"/>
    <n v="2"/>
    <n v="263780000"/>
    <n v="3774330000"/>
    <n v="61420000"/>
    <n v="2229"/>
    <n v="4.5499999999999999E-2"/>
    <b v="0"/>
    <n v="2000"/>
    <x v="4"/>
    <s v="Private"/>
    <n v="14.31"/>
    <n v="27555"/>
    <n v="25"/>
  </r>
  <r>
    <s v="Startup_254"/>
    <x v="1"/>
    <n v="5"/>
    <n v="2040000"/>
    <n v="27500000"/>
    <n v="43610000"/>
    <n v="202"/>
    <n v="6.1600000000000002E-2"/>
    <b v="1"/>
    <n v="2000"/>
    <x v="3"/>
    <s v="Private"/>
    <n v="13.48"/>
    <n v="215891"/>
    <n v="25"/>
  </r>
  <r>
    <s v="Startup_255"/>
    <x v="1"/>
    <n v="2"/>
    <n v="246070000"/>
    <n v="1215870000"/>
    <n v="57770000"/>
    <n v="2676"/>
    <n v="2.2100000000000002E-2"/>
    <b v="0"/>
    <n v="1992"/>
    <x v="4"/>
    <s v="Private"/>
    <n v="4.9400000000000004"/>
    <n v="21588"/>
    <n v="33"/>
  </r>
  <r>
    <s v="Startup_256"/>
    <x v="2"/>
    <n v="4"/>
    <n v="68970000"/>
    <n v="857660000"/>
    <n v="73830000"/>
    <n v="3497"/>
    <n v="9.4E-2"/>
    <b v="1"/>
    <n v="2001"/>
    <x v="1"/>
    <s v="Private"/>
    <n v="12.44"/>
    <n v="21112"/>
    <n v="24"/>
  </r>
  <r>
    <s v="Startup_257"/>
    <x v="1"/>
    <n v="2"/>
    <n v="272660000"/>
    <n v="2697980000"/>
    <n v="80640000"/>
    <n v="2453"/>
    <n v="1.6999999999999999E-3"/>
    <b v="1"/>
    <n v="1992"/>
    <x v="4"/>
    <s v="Private"/>
    <n v="9.9"/>
    <n v="32874"/>
    <n v="33"/>
  </r>
  <r>
    <s v="Startup_258"/>
    <x v="6"/>
    <n v="5"/>
    <n v="840000"/>
    <n v="8230000"/>
    <n v="84390000"/>
    <n v="475"/>
    <n v="7.7499999999999999E-2"/>
    <b v="0"/>
    <n v="2016"/>
    <x v="0"/>
    <s v="IPO"/>
    <n v="9.8000000000000007"/>
    <n v="177663"/>
    <n v="9"/>
  </r>
  <r>
    <s v="Startup_259"/>
    <x v="7"/>
    <n v="2"/>
    <n v="167080000"/>
    <n v="1285270000"/>
    <n v="25470000"/>
    <n v="1953"/>
    <n v="6.2899999999999998E-2"/>
    <b v="1"/>
    <n v="1991"/>
    <x v="1"/>
    <s v="Private"/>
    <n v="7.69"/>
    <n v="13041"/>
    <n v="34"/>
  </r>
  <r>
    <s v="Startup_26"/>
    <x v="0"/>
    <n v="3"/>
    <n v="40120000"/>
    <n v="285330000"/>
    <n v="5380000"/>
    <n v="790"/>
    <n v="8.4900000000000003E-2"/>
    <b v="1"/>
    <n v="2002"/>
    <x v="1"/>
    <s v="Acquired"/>
    <n v="7.11"/>
    <n v="6810"/>
    <n v="23"/>
  </r>
  <r>
    <s v="Startup_260"/>
    <x v="0"/>
    <n v="4"/>
    <n v="227110000"/>
    <n v="2047130000"/>
    <n v="3210000"/>
    <n v="3904"/>
    <n v="3.7999999999999999E-2"/>
    <b v="0"/>
    <n v="2005"/>
    <x v="2"/>
    <s v="Acquired"/>
    <n v="9.01"/>
    <n v="822"/>
    <n v="20"/>
  </r>
  <r>
    <s v="Startup_261"/>
    <x v="5"/>
    <n v="1"/>
    <n v="77980000"/>
    <n v="605600000"/>
    <n v="73960000"/>
    <n v="2015"/>
    <n v="6.0000000000000001E-3"/>
    <b v="1"/>
    <n v="1991"/>
    <x v="3"/>
    <s v="IPO"/>
    <n v="7.77"/>
    <n v="36705"/>
    <n v="34"/>
  </r>
  <r>
    <s v="Startup_262"/>
    <x v="1"/>
    <n v="5"/>
    <n v="58340000"/>
    <n v="552880000"/>
    <n v="10720000"/>
    <n v="3805"/>
    <n v="6.3100000000000003E-2"/>
    <b v="0"/>
    <n v="2019"/>
    <x v="3"/>
    <s v="Acquired"/>
    <n v="9.48"/>
    <n v="2817"/>
    <n v="6"/>
  </r>
  <r>
    <s v="Startup_263"/>
    <x v="3"/>
    <n v="1"/>
    <n v="25690000"/>
    <n v="270650000"/>
    <n v="31560000"/>
    <n v="4123"/>
    <n v="3.9199999999999999E-2"/>
    <b v="0"/>
    <n v="2009"/>
    <x v="4"/>
    <s v="Acquired"/>
    <n v="10.54"/>
    <n v="7655"/>
    <n v="16"/>
  </r>
  <r>
    <s v="Startup_264"/>
    <x v="1"/>
    <n v="1"/>
    <n v="98270000"/>
    <n v="1089980000"/>
    <n v="480000"/>
    <n v="3801"/>
    <n v="9.3700000000000006E-2"/>
    <b v="1"/>
    <n v="2017"/>
    <x v="1"/>
    <s v="Private"/>
    <n v="11.09"/>
    <n v="126"/>
    <n v="8"/>
  </r>
  <r>
    <s v="Startup_265"/>
    <x v="3"/>
    <n v="1"/>
    <n v="168170000"/>
    <n v="1579080000"/>
    <n v="68200000"/>
    <n v="3993"/>
    <n v="5.4699999999999999E-2"/>
    <b v="1"/>
    <n v="2014"/>
    <x v="2"/>
    <s v="IPO"/>
    <n v="9.39"/>
    <n v="17080"/>
    <n v="11"/>
  </r>
  <r>
    <s v="Startup_266"/>
    <x v="6"/>
    <n v="3"/>
    <n v="35200000"/>
    <n v="410330000"/>
    <n v="16800000"/>
    <n v="239"/>
    <n v="9.4E-2"/>
    <b v="1"/>
    <n v="2021"/>
    <x v="1"/>
    <s v="Private"/>
    <n v="11.66"/>
    <n v="70293"/>
    <n v="4"/>
  </r>
  <r>
    <s v="Startup_267"/>
    <x v="3"/>
    <n v="3"/>
    <n v="113320000"/>
    <n v="532080000"/>
    <n v="65560000"/>
    <n v="933"/>
    <n v="2.2800000000000001E-2"/>
    <b v="0"/>
    <n v="1999"/>
    <x v="3"/>
    <s v="Private"/>
    <n v="4.7"/>
    <n v="70268"/>
    <n v="26"/>
  </r>
  <r>
    <s v="Startup_268"/>
    <x v="4"/>
    <n v="1"/>
    <n v="3220000"/>
    <n v="17850000"/>
    <n v="99180000"/>
    <n v="3612"/>
    <n v="7.2800000000000004E-2"/>
    <b v="1"/>
    <n v="2022"/>
    <x v="1"/>
    <s v="Private"/>
    <n v="5.54"/>
    <n v="27458"/>
    <n v="3"/>
  </r>
  <r>
    <s v="Startup_269"/>
    <x v="5"/>
    <n v="5"/>
    <n v="245690000"/>
    <n v="3150930000"/>
    <n v="7360000"/>
    <n v="527"/>
    <n v="6.2100000000000002E-2"/>
    <b v="0"/>
    <n v="2002"/>
    <x v="2"/>
    <s v="Acquired"/>
    <n v="12.82"/>
    <n v="13966"/>
    <n v="23"/>
  </r>
  <r>
    <s v="Startup_27"/>
    <x v="6"/>
    <n v="5"/>
    <n v="270220000"/>
    <n v="2536540000"/>
    <n v="48710000"/>
    <n v="2421"/>
    <n v="9.0300000000000005E-2"/>
    <b v="1"/>
    <n v="1996"/>
    <x v="3"/>
    <s v="Private"/>
    <n v="9.39"/>
    <n v="20120"/>
    <n v="29"/>
  </r>
  <r>
    <s v="Startup_270"/>
    <x v="7"/>
    <n v="4"/>
    <n v="38970000"/>
    <n v="267740000"/>
    <n v="7800000"/>
    <n v="3528"/>
    <n v="7.4200000000000002E-2"/>
    <b v="1"/>
    <n v="2005"/>
    <x v="4"/>
    <s v="Private"/>
    <n v="6.87"/>
    <n v="2211"/>
    <n v="20"/>
  </r>
  <r>
    <s v="Startup_271"/>
    <x v="3"/>
    <n v="4"/>
    <n v="85360000"/>
    <n v="279530000"/>
    <n v="34100000"/>
    <n v="4531"/>
    <n v="2.23E-2"/>
    <b v="0"/>
    <n v="2011"/>
    <x v="0"/>
    <s v="Private"/>
    <n v="3.27"/>
    <n v="7526"/>
    <n v="14"/>
  </r>
  <r>
    <s v="Startup_272"/>
    <x v="3"/>
    <n v="2"/>
    <n v="6020000"/>
    <n v="29170000"/>
    <n v="86650000"/>
    <n v="4893"/>
    <n v="6.6799999999999998E-2"/>
    <b v="1"/>
    <n v="2009"/>
    <x v="1"/>
    <s v="Private"/>
    <n v="4.8499999999999996"/>
    <n v="17709"/>
    <n v="16"/>
  </r>
  <r>
    <s v="Startup_273"/>
    <x v="7"/>
    <n v="5"/>
    <n v="129960000"/>
    <n v="738610000"/>
    <n v="21630000"/>
    <n v="1634"/>
    <n v="5.0299999999999997E-2"/>
    <b v="1"/>
    <n v="2016"/>
    <x v="0"/>
    <s v="Private"/>
    <n v="5.68"/>
    <n v="13237"/>
    <n v="9"/>
  </r>
  <r>
    <s v="Startup_274"/>
    <x v="5"/>
    <n v="3"/>
    <n v="252120000"/>
    <n v="3652680000"/>
    <n v="36100000"/>
    <n v="4633"/>
    <n v="7.4499999999999997E-2"/>
    <b v="1"/>
    <n v="2005"/>
    <x v="3"/>
    <s v="Private"/>
    <n v="14.49"/>
    <n v="7792"/>
    <n v="20"/>
  </r>
  <r>
    <s v="Startup_275"/>
    <x v="1"/>
    <n v="1"/>
    <n v="117950000"/>
    <n v="1164930000"/>
    <n v="6940000"/>
    <n v="1321"/>
    <n v="3.3399999999999999E-2"/>
    <b v="0"/>
    <n v="2021"/>
    <x v="4"/>
    <s v="Private"/>
    <n v="9.8800000000000008"/>
    <n v="5254"/>
    <n v="4"/>
  </r>
  <r>
    <s v="Startup_276"/>
    <x v="3"/>
    <n v="2"/>
    <n v="54260000"/>
    <n v="770100000"/>
    <n v="76340000"/>
    <n v="2862"/>
    <n v="8.9099999999999999E-2"/>
    <b v="0"/>
    <n v="2015"/>
    <x v="4"/>
    <s v="Private"/>
    <n v="14.19"/>
    <n v="26674"/>
    <n v="10"/>
  </r>
  <r>
    <s v="Startup_277"/>
    <x v="7"/>
    <n v="4"/>
    <n v="226230000"/>
    <n v="2240120000"/>
    <n v="40890000"/>
    <n v="1129"/>
    <n v="9.2999999999999992E-3"/>
    <b v="1"/>
    <n v="2014"/>
    <x v="1"/>
    <s v="Private"/>
    <n v="9.9"/>
    <n v="36218"/>
    <n v="11"/>
  </r>
  <r>
    <s v="Startup_278"/>
    <x v="4"/>
    <n v="3"/>
    <n v="236750000"/>
    <n v="2072100000"/>
    <n v="75950000"/>
    <n v="2592"/>
    <n v="8.09E-2"/>
    <b v="0"/>
    <n v="1991"/>
    <x v="4"/>
    <s v="Acquired"/>
    <n v="8.75"/>
    <n v="29302"/>
    <n v="34"/>
  </r>
  <r>
    <s v="Startup_279"/>
    <x v="4"/>
    <n v="3"/>
    <n v="52540000"/>
    <n v="355420000"/>
    <n v="90370000"/>
    <n v="1028"/>
    <n v="8.6300000000000002E-2"/>
    <b v="1"/>
    <n v="2001"/>
    <x v="1"/>
    <s v="Private"/>
    <n v="6.76"/>
    <n v="87909"/>
    <n v="24"/>
  </r>
  <r>
    <s v="Startup_28"/>
    <x v="1"/>
    <n v="2"/>
    <n v="207520000"/>
    <n v="935690000"/>
    <n v="59980000"/>
    <n v="801"/>
    <n v="8.7900000000000006E-2"/>
    <b v="1"/>
    <n v="2004"/>
    <x v="2"/>
    <s v="IPO"/>
    <n v="4.51"/>
    <n v="74881"/>
    <n v="21"/>
  </r>
  <r>
    <s v="Startup_280"/>
    <x v="6"/>
    <n v="1"/>
    <n v="231370000"/>
    <n v="2377660000"/>
    <n v="23350000"/>
    <n v="1383"/>
    <n v="8.1900000000000001E-2"/>
    <b v="0"/>
    <n v="1998"/>
    <x v="1"/>
    <s v="Acquired"/>
    <n v="10.28"/>
    <n v="16884"/>
    <n v="27"/>
  </r>
  <r>
    <s v="Startup_281"/>
    <x v="7"/>
    <n v="4"/>
    <n v="284220000"/>
    <n v="1327410000"/>
    <n v="80760000"/>
    <n v="3379"/>
    <n v="5.1799999999999999E-2"/>
    <b v="0"/>
    <n v="2001"/>
    <x v="0"/>
    <s v="Private"/>
    <n v="4.67"/>
    <n v="23901"/>
    <n v="24"/>
  </r>
  <r>
    <s v="Startup_282"/>
    <x v="6"/>
    <n v="5"/>
    <n v="50330000"/>
    <n v="693500000"/>
    <n v="6000000"/>
    <n v="1524"/>
    <n v="4.4400000000000002E-2"/>
    <b v="1"/>
    <n v="2015"/>
    <x v="4"/>
    <s v="Private"/>
    <n v="13.78"/>
    <n v="3937"/>
    <n v="10"/>
  </r>
  <r>
    <s v="Startup_283"/>
    <x v="4"/>
    <n v="3"/>
    <n v="231410000"/>
    <n v="2997220000"/>
    <n v="89890000"/>
    <n v="231"/>
    <n v="9.9599999999999994E-2"/>
    <b v="1"/>
    <n v="1998"/>
    <x v="1"/>
    <s v="Private"/>
    <n v="12.95"/>
    <n v="389134"/>
    <n v="27"/>
  </r>
  <r>
    <s v="Startup_284"/>
    <x v="5"/>
    <n v="1"/>
    <n v="212720000"/>
    <n v="1448700000"/>
    <n v="65110000"/>
    <n v="4973"/>
    <n v="2.3699999999999999E-2"/>
    <b v="0"/>
    <n v="1999"/>
    <x v="0"/>
    <s v="Private"/>
    <n v="6.81"/>
    <n v="13093"/>
    <n v="26"/>
  </r>
  <r>
    <s v="Startup_285"/>
    <x v="1"/>
    <n v="5"/>
    <n v="142340000"/>
    <n v="2054470000"/>
    <n v="87440000"/>
    <n v="896"/>
    <n v="5.5100000000000003E-2"/>
    <b v="0"/>
    <n v="2021"/>
    <x v="2"/>
    <s v="Private"/>
    <n v="14.43"/>
    <n v="97589"/>
    <n v="4"/>
  </r>
  <r>
    <s v="Startup_286"/>
    <x v="7"/>
    <n v="4"/>
    <n v="17850000"/>
    <n v="230310000"/>
    <n v="120000"/>
    <n v="4077"/>
    <n v="6.7400000000000002E-2"/>
    <b v="0"/>
    <n v="2009"/>
    <x v="0"/>
    <s v="Private"/>
    <n v="12.9"/>
    <n v="29"/>
    <n v="16"/>
  </r>
  <r>
    <s v="Startup_287"/>
    <x v="0"/>
    <n v="3"/>
    <n v="22870000"/>
    <n v="251470000"/>
    <n v="16990000"/>
    <n v="2262"/>
    <n v="7.0400000000000004E-2"/>
    <b v="1"/>
    <n v="1991"/>
    <x v="0"/>
    <s v="Private"/>
    <n v="11"/>
    <n v="7511"/>
    <n v="34"/>
  </r>
  <r>
    <s v="Startup_288"/>
    <x v="4"/>
    <n v="5"/>
    <n v="255800000"/>
    <n v="1141160000"/>
    <n v="39040000"/>
    <n v="2793"/>
    <n v="2.12E-2"/>
    <b v="0"/>
    <n v="1990"/>
    <x v="1"/>
    <s v="Private"/>
    <n v="4.46"/>
    <n v="13978"/>
    <n v="35"/>
  </r>
  <r>
    <s v="Startup_289"/>
    <x v="4"/>
    <n v="5"/>
    <n v="297050000"/>
    <n v="2595860000"/>
    <n v="38010000"/>
    <n v="401"/>
    <n v="6.5699999999999995E-2"/>
    <b v="1"/>
    <n v="2013"/>
    <x v="3"/>
    <s v="Acquired"/>
    <n v="8.74"/>
    <n v="94788"/>
    <n v="12"/>
  </r>
  <r>
    <s v="Startup_29"/>
    <x v="1"/>
    <n v="1"/>
    <n v="205110000"/>
    <n v="941980000"/>
    <n v="60250000"/>
    <n v="4177"/>
    <n v="9.7500000000000003E-2"/>
    <b v="1"/>
    <n v="2008"/>
    <x v="3"/>
    <s v="Acquired"/>
    <n v="4.59"/>
    <n v="14424"/>
    <n v="17"/>
  </r>
  <r>
    <s v="Startup_290"/>
    <x v="0"/>
    <n v="5"/>
    <n v="202980000"/>
    <n v="1841700000"/>
    <n v="22750000"/>
    <n v="2083"/>
    <n v="8.2000000000000003E-2"/>
    <b v="1"/>
    <n v="2016"/>
    <x v="3"/>
    <s v="Private"/>
    <n v="9.07"/>
    <n v="10922"/>
    <n v="9"/>
  </r>
  <r>
    <s v="Startup_291"/>
    <x v="2"/>
    <n v="3"/>
    <n v="134060000"/>
    <n v="776290000"/>
    <n v="38220000"/>
    <n v="4749"/>
    <n v="6.0000000000000001E-3"/>
    <b v="0"/>
    <n v="1991"/>
    <x v="3"/>
    <s v="Private"/>
    <n v="5.79"/>
    <n v="8048"/>
    <n v="34"/>
  </r>
  <r>
    <s v="Startup_292"/>
    <x v="4"/>
    <n v="3"/>
    <n v="194450000"/>
    <n v="769940000"/>
    <n v="12970000"/>
    <n v="4429"/>
    <n v="9.1200000000000003E-2"/>
    <b v="1"/>
    <n v="2020"/>
    <x v="0"/>
    <s v="Acquired"/>
    <n v="3.96"/>
    <n v="2928"/>
    <n v="5"/>
  </r>
  <r>
    <s v="Startup_293"/>
    <x v="3"/>
    <n v="2"/>
    <n v="178520000"/>
    <n v="2199490000"/>
    <n v="41330000"/>
    <n v="3242"/>
    <n v="3.8999999999999998E-3"/>
    <b v="0"/>
    <n v="2003"/>
    <x v="1"/>
    <s v="Private"/>
    <n v="12.32"/>
    <n v="12748"/>
    <n v="22"/>
  </r>
  <r>
    <s v="Startup_294"/>
    <x v="5"/>
    <n v="4"/>
    <n v="115390000"/>
    <n v="515150000"/>
    <n v="80260000"/>
    <n v="3898"/>
    <n v="3.6200000000000003E-2"/>
    <b v="0"/>
    <n v="1991"/>
    <x v="4"/>
    <s v="Acquired"/>
    <n v="4.46"/>
    <n v="20590"/>
    <n v="34"/>
  </r>
  <r>
    <s v="Startup_295"/>
    <x v="7"/>
    <n v="1"/>
    <n v="20160000"/>
    <n v="204250000"/>
    <n v="47960000"/>
    <n v="2010"/>
    <n v="2.5999999999999999E-3"/>
    <b v="1"/>
    <n v="2018"/>
    <x v="0"/>
    <s v="Private"/>
    <n v="10.130000000000001"/>
    <n v="23861"/>
    <n v="7"/>
  </r>
  <r>
    <s v="Startup_296"/>
    <x v="0"/>
    <n v="5"/>
    <n v="246540000"/>
    <n v="3510090000"/>
    <n v="1900000"/>
    <n v="2021"/>
    <n v="8.6E-3"/>
    <b v="0"/>
    <n v="2004"/>
    <x v="0"/>
    <s v="Private"/>
    <n v="14.24"/>
    <n v="940"/>
    <n v="21"/>
  </r>
  <r>
    <s v="Startup_297"/>
    <x v="3"/>
    <n v="2"/>
    <n v="111860000"/>
    <n v="1511590000"/>
    <n v="42200000"/>
    <n v="3176"/>
    <n v="9.1200000000000003E-2"/>
    <b v="0"/>
    <n v="2001"/>
    <x v="1"/>
    <s v="Private"/>
    <n v="13.51"/>
    <n v="13287"/>
    <n v="24"/>
  </r>
  <r>
    <s v="Startup_298"/>
    <x v="0"/>
    <n v="1"/>
    <n v="245730000"/>
    <n v="1556220000"/>
    <n v="2810000"/>
    <n v="2673"/>
    <n v="3.61E-2"/>
    <b v="0"/>
    <n v="2017"/>
    <x v="2"/>
    <s v="Acquired"/>
    <n v="6.33"/>
    <n v="1051"/>
    <n v="8"/>
  </r>
  <r>
    <s v="Startup_299"/>
    <x v="7"/>
    <n v="2"/>
    <n v="76130000"/>
    <n v="1006240000"/>
    <n v="96630000"/>
    <n v="1883"/>
    <n v="4.3099999999999999E-2"/>
    <b v="0"/>
    <n v="2009"/>
    <x v="0"/>
    <s v="IPO"/>
    <n v="13.22"/>
    <n v="51317"/>
    <n v="16"/>
  </r>
  <r>
    <s v="Startup_3"/>
    <x v="3"/>
    <n v="1"/>
    <n v="109240000"/>
    <n v="1059370000"/>
    <n v="84210000"/>
    <n v="4933"/>
    <n v="2.6100000000000002E-2"/>
    <b v="1"/>
    <n v="1995"/>
    <x v="2"/>
    <s v="Private"/>
    <n v="9.6999999999999993"/>
    <n v="17071"/>
    <n v="30"/>
  </r>
  <r>
    <s v="Startup_30"/>
    <x v="1"/>
    <n v="3"/>
    <n v="246860000"/>
    <n v="1165800000"/>
    <n v="2390000"/>
    <n v="4159"/>
    <n v="3.7000000000000002E-3"/>
    <b v="0"/>
    <n v="2006"/>
    <x v="1"/>
    <s v="Acquired"/>
    <n v="4.72"/>
    <n v="575"/>
    <n v="19"/>
  </r>
  <r>
    <s v="Startup_300"/>
    <x v="6"/>
    <n v="3"/>
    <n v="810000"/>
    <n v="2430000"/>
    <n v="12830000"/>
    <n v="1201"/>
    <n v="2.23E-2"/>
    <b v="0"/>
    <n v="2013"/>
    <x v="2"/>
    <s v="Acquired"/>
    <n v="3"/>
    <n v="10683"/>
    <n v="12"/>
  </r>
  <r>
    <s v="Startup_301"/>
    <x v="7"/>
    <n v="5"/>
    <n v="48100000"/>
    <n v="154510000"/>
    <n v="70800000"/>
    <n v="1777"/>
    <n v="6.0100000000000001E-2"/>
    <b v="1"/>
    <n v="2010"/>
    <x v="2"/>
    <s v="Private"/>
    <n v="3.21"/>
    <n v="39842"/>
    <n v="15"/>
  </r>
  <r>
    <s v="Startup_302"/>
    <x v="2"/>
    <n v="1"/>
    <n v="140830000"/>
    <n v="1440780000"/>
    <n v="97280000"/>
    <n v="166"/>
    <n v="5.9900000000000002E-2"/>
    <b v="1"/>
    <n v="1999"/>
    <x v="3"/>
    <s v="Private"/>
    <n v="10.23"/>
    <n v="586024"/>
    <n v="26"/>
  </r>
  <r>
    <s v="Startup_303"/>
    <x v="7"/>
    <n v="1"/>
    <n v="283320000"/>
    <n v="2090220000"/>
    <n v="82620000"/>
    <n v="3981"/>
    <n v="3.78E-2"/>
    <b v="1"/>
    <n v="2003"/>
    <x v="1"/>
    <s v="Private"/>
    <n v="7.38"/>
    <n v="20754"/>
    <n v="22"/>
  </r>
  <r>
    <s v="Startup_304"/>
    <x v="7"/>
    <n v="1"/>
    <n v="31110000"/>
    <n v="237600000"/>
    <n v="69960000"/>
    <n v="1756"/>
    <n v="3.4000000000000002E-2"/>
    <b v="0"/>
    <n v="2007"/>
    <x v="2"/>
    <s v="Private"/>
    <n v="7.64"/>
    <n v="39841"/>
    <n v="18"/>
  </r>
  <r>
    <s v="Startup_305"/>
    <x v="2"/>
    <n v="1"/>
    <n v="256340000"/>
    <n v="2505290000"/>
    <n v="83960000"/>
    <n v="780"/>
    <n v="8.8599999999999998E-2"/>
    <b v="0"/>
    <n v="2013"/>
    <x v="1"/>
    <s v="Private"/>
    <n v="9.77"/>
    <n v="107641"/>
    <n v="12"/>
  </r>
  <r>
    <s v="Startup_306"/>
    <x v="5"/>
    <n v="1"/>
    <n v="158340000"/>
    <n v="839420000"/>
    <n v="98180000"/>
    <n v="944"/>
    <n v="3.8899999999999997E-2"/>
    <b v="0"/>
    <n v="2003"/>
    <x v="3"/>
    <s v="Private"/>
    <n v="5.3"/>
    <n v="104004"/>
    <n v="22"/>
  </r>
  <r>
    <s v="Startup_307"/>
    <x v="4"/>
    <n v="2"/>
    <n v="247860000"/>
    <n v="1373410000"/>
    <n v="62170000"/>
    <n v="3225"/>
    <n v="4.99E-2"/>
    <b v="0"/>
    <n v="2001"/>
    <x v="1"/>
    <s v="Private"/>
    <n v="5.54"/>
    <n v="19278"/>
    <n v="24"/>
  </r>
  <r>
    <s v="Startup_308"/>
    <x v="7"/>
    <n v="5"/>
    <n v="89860000"/>
    <n v="792140000"/>
    <n v="55960000"/>
    <n v="544"/>
    <n v="2.9000000000000001E-2"/>
    <b v="0"/>
    <n v="2011"/>
    <x v="0"/>
    <s v="Private"/>
    <n v="8.82"/>
    <n v="102868"/>
    <n v="14"/>
  </r>
  <r>
    <s v="Startup_309"/>
    <x v="2"/>
    <n v="3"/>
    <n v="252060000"/>
    <n v="3037590000"/>
    <n v="62860000"/>
    <n v="4922"/>
    <n v="7.8899999999999998E-2"/>
    <b v="0"/>
    <n v="1995"/>
    <x v="2"/>
    <s v="Private"/>
    <n v="12.05"/>
    <n v="12771"/>
    <n v="30"/>
  </r>
  <r>
    <s v="Startup_31"/>
    <x v="7"/>
    <n v="3"/>
    <n v="159130000"/>
    <n v="2272030000"/>
    <n v="32280000"/>
    <n v="1941"/>
    <n v="8.4099999999999994E-2"/>
    <b v="0"/>
    <n v="2008"/>
    <x v="4"/>
    <s v="Acquired"/>
    <n v="14.28"/>
    <n v="16631"/>
    <n v="17"/>
  </r>
  <r>
    <s v="Startup_310"/>
    <x v="3"/>
    <n v="3"/>
    <n v="231960000"/>
    <n v="2420260000"/>
    <n v="53310000"/>
    <n v="1466"/>
    <n v="4.0300000000000002E-2"/>
    <b v="0"/>
    <n v="2011"/>
    <x v="1"/>
    <s v="IPO"/>
    <n v="10.43"/>
    <n v="36364"/>
    <n v="14"/>
  </r>
  <r>
    <s v="Startup_311"/>
    <x v="6"/>
    <n v="3"/>
    <n v="69400000"/>
    <n v="455840000"/>
    <n v="63550000"/>
    <n v="360"/>
    <n v="5.1799999999999999E-2"/>
    <b v="0"/>
    <n v="2003"/>
    <x v="4"/>
    <s v="Acquired"/>
    <n v="6.57"/>
    <n v="176528"/>
    <n v="22"/>
  </r>
  <r>
    <s v="Startup_312"/>
    <x v="6"/>
    <n v="3"/>
    <n v="39830000"/>
    <n v="325170000"/>
    <n v="45040000"/>
    <n v="3609"/>
    <n v="2.6100000000000002E-2"/>
    <b v="1"/>
    <n v="2005"/>
    <x v="1"/>
    <s v="Private"/>
    <n v="8.16"/>
    <n v="12480"/>
    <n v="20"/>
  </r>
  <r>
    <s v="Startup_313"/>
    <x v="7"/>
    <n v="2"/>
    <n v="260480000"/>
    <n v="1314900000"/>
    <n v="21920000"/>
    <n v="3328"/>
    <n v="9.8799999999999999E-2"/>
    <b v="1"/>
    <n v="2014"/>
    <x v="2"/>
    <s v="Acquired"/>
    <n v="5.05"/>
    <n v="6587"/>
    <n v="11"/>
  </r>
  <r>
    <s v="Startup_314"/>
    <x v="5"/>
    <n v="4"/>
    <n v="288990000"/>
    <n v="1125780000"/>
    <n v="12110000"/>
    <n v="239"/>
    <n v="2.9899999999999999E-2"/>
    <b v="1"/>
    <n v="2021"/>
    <x v="3"/>
    <s v="Private"/>
    <n v="3.9"/>
    <n v="50669"/>
    <n v="4"/>
  </r>
  <r>
    <s v="Startup_315"/>
    <x v="5"/>
    <n v="5"/>
    <n v="9880000"/>
    <n v="122440000"/>
    <n v="6930000"/>
    <n v="1553"/>
    <n v="7.7299999999999994E-2"/>
    <b v="1"/>
    <n v="2022"/>
    <x v="3"/>
    <s v="Private"/>
    <n v="12.39"/>
    <n v="4462"/>
    <n v="3"/>
  </r>
  <r>
    <s v="Startup_316"/>
    <x v="3"/>
    <n v="1"/>
    <n v="219520000"/>
    <n v="1357650000"/>
    <n v="26410000"/>
    <n v="2101"/>
    <n v="4.3299999999999998E-2"/>
    <b v="1"/>
    <n v="2009"/>
    <x v="2"/>
    <s v="Private"/>
    <n v="6.18"/>
    <n v="12570"/>
    <n v="16"/>
  </r>
  <r>
    <s v="Startup_317"/>
    <x v="7"/>
    <n v="4"/>
    <n v="272900000"/>
    <n v="1400850000"/>
    <n v="4710000"/>
    <n v="4218"/>
    <n v="2.1399999999999999E-2"/>
    <b v="0"/>
    <n v="2007"/>
    <x v="0"/>
    <s v="Private"/>
    <n v="5.13"/>
    <n v="1117"/>
    <n v="18"/>
  </r>
  <r>
    <s v="Startup_318"/>
    <x v="6"/>
    <n v="3"/>
    <n v="257280000"/>
    <n v="2907110000"/>
    <n v="56760000"/>
    <n v="2106"/>
    <n v="8.0199999999999994E-2"/>
    <b v="0"/>
    <n v="1992"/>
    <x v="0"/>
    <s v="Acquired"/>
    <n v="11.3"/>
    <n v="26952"/>
    <n v="33"/>
  </r>
  <r>
    <s v="Startup_319"/>
    <x v="5"/>
    <n v="4"/>
    <n v="289370000"/>
    <n v="3014260000"/>
    <n v="28450000"/>
    <n v="1678"/>
    <n v="3.4000000000000002E-2"/>
    <b v="1"/>
    <n v="2012"/>
    <x v="3"/>
    <s v="Private"/>
    <n v="10.42"/>
    <n v="16955"/>
    <n v="13"/>
  </r>
  <r>
    <s v="Startup_32"/>
    <x v="4"/>
    <n v="1"/>
    <n v="244610000"/>
    <n v="2885120000"/>
    <n v="63690000"/>
    <n v="2161"/>
    <n v="7.5399999999999995E-2"/>
    <b v="0"/>
    <n v="2009"/>
    <x v="3"/>
    <s v="Private"/>
    <n v="11.79"/>
    <n v="29472"/>
    <n v="16"/>
  </r>
  <r>
    <s v="Startup_320"/>
    <x v="7"/>
    <n v="5"/>
    <n v="228150000"/>
    <n v="2418000000"/>
    <n v="82470000"/>
    <n v="2105"/>
    <n v="8.6699999999999999E-2"/>
    <b v="1"/>
    <n v="2021"/>
    <x v="3"/>
    <s v="Private"/>
    <n v="10.6"/>
    <n v="39178"/>
    <n v="4"/>
  </r>
  <r>
    <s v="Startup_321"/>
    <x v="0"/>
    <n v="1"/>
    <n v="132970000"/>
    <n v="764140000"/>
    <n v="7520000"/>
    <n v="3662"/>
    <n v="9.1600000000000001E-2"/>
    <b v="1"/>
    <n v="2005"/>
    <x v="2"/>
    <s v="Private"/>
    <n v="5.75"/>
    <n v="2054"/>
    <n v="20"/>
  </r>
  <r>
    <s v="Startup_322"/>
    <x v="5"/>
    <n v="1"/>
    <n v="93930000"/>
    <n v="544020000"/>
    <n v="22710000"/>
    <n v="4658"/>
    <n v="8.6099999999999996E-2"/>
    <b v="1"/>
    <n v="1994"/>
    <x v="0"/>
    <s v="Private"/>
    <n v="5.79"/>
    <n v="4875"/>
    <n v="31"/>
  </r>
  <r>
    <s v="Startup_323"/>
    <x v="2"/>
    <n v="5"/>
    <n v="96560000"/>
    <n v="545530000"/>
    <n v="73050000"/>
    <n v="3601"/>
    <n v="4.4999999999999997E-3"/>
    <b v="0"/>
    <n v="1993"/>
    <x v="3"/>
    <s v="Private"/>
    <n v="5.65"/>
    <n v="20286"/>
    <n v="32"/>
  </r>
  <r>
    <s v="Startup_324"/>
    <x v="0"/>
    <n v="5"/>
    <n v="217460000"/>
    <n v="1105790000"/>
    <n v="59920000"/>
    <n v="3753"/>
    <n v="7.8899999999999998E-2"/>
    <b v="1"/>
    <n v="2010"/>
    <x v="0"/>
    <s v="Private"/>
    <n v="5.09"/>
    <n v="15966"/>
    <n v="15"/>
  </r>
  <r>
    <s v="Startup_325"/>
    <x v="4"/>
    <n v="3"/>
    <n v="223880000"/>
    <n v="2433280000"/>
    <n v="6540000"/>
    <n v="3178"/>
    <n v="4.1700000000000001E-2"/>
    <b v="1"/>
    <n v="2003"/>
    <x v="3"/>
    <s v="Private"/>
    <n v="10.87"/>
    <n v="2058"/>
    <n v="22"/>
  </r>
  <r>
    <s v="Startup_326"/>
    <x v="5"/>
    <n v="1"/>
    <n v="60510000"/>
    <n v="797290000"/>
    <n v="87740000"/>
    <n v="1820"/>
    <n v="8.7499999999999994E-2"/>
    <b v="0"/>
    <n v="2020"/>
    <x v="1"/>
    <s v="Acquired"/>
    <n v="13.18"/>
    <n v="48209"/>
    <n v="5"/>
  </r>
  <r>
    <s v="Startup_327"/>
    <x v="6"/>
    <n v="4"/>
    <n v="260500000"/>
    <n v="3045720000"/>
    <n v="87740000"/>
    <n v="3846"/>
    <n v="6.4199999999999993E-2"/>
    <b v="1"/>
    <n v="2003"/>
    <x v="4"/>
    <s v="Private"/>
    <n v="11.69"/>
    <n v="22813"/>
    <n v="22"/>
  </r>
  <r>
    <s v="Startup_328"/>
    <x v="1"/>
    <n v="2"/>
    <n v="214620000"/>
    <n v="2683850000"/>
    <n v="33110000"/>
    <n v="2010"/>
    <n v="8.3500000000000005E-2"/>
    <b v="0"/>
    <n v="1995"/>
    <x v="1"/>
    <s v="Private"/>
    <n v="12.51"/>
    <n v="16473"/>
    <n v="30"/>
  </r>
  <r>
    <s v="Startup_329"/>
    <x v="0"/>
    <n v="2"/>
    <n v="169040000"/>
    <n v="1328250000"/>
    <n v="34110000"/>
    <n v="4498"/>
    <n v="5.04E-2"/>
    <b v="1"/>
    <n v="2001"/>
    <x v="3"/>
    <s v="Private"/>
    <n v="7.86"/>
    <n v="7583"/>
    <n v="24"/>
  </r>
  <r>
    <s v="Startup_33"/>
    <x v="7"/>
    <n v="5"/>
    <n v="149680000"/>
    <n v="740700000"/>
    <n v="14990000"/>
    <n v="3812"/>
    <n v="2.3599999999999999E-2"/>
    <b v="0"/>
    <n v="2021"/>
    <x v="0"/>
    <s v="Private"/>
    <n v="4.95"/>
    <n v="3932"/>
    <n v="4"/>
  </r>
  <r>
    <s v="Startup_330"/>
    <x v="4"/>
    <n v="5"/>
    <n v="141720000"/>
    <n v="1537510000"/>
    <n v="98900000"/>
    <n v="679"/>
    <n v="5.3999999999999999E-2"/>
    <b v="1"/>
    <n v="2005"/>
    <x v="4"/>
    <s v="Private"/>
    <n v="10.85"/>
    <n v="145655"/>
    <n v="20"/>
  </r>
  <r>
    <s v="Startup_331"/>
    <x v="3"/>
    <n v="3"/>
    <n v="163200000"/>
    <n v="1183340000"/>
    <n v="62650000"/>
    <n v="391"/>
    <n v="1.5299999999999999E-2"/>
    <b v="0"/>
    <n v="2006"/>
    <x v="4"/>
    <s v="Private"/>
    <n v="7.25"/>
    <n v="160230"/>
    <n v="19"/>
  </r>
  <r>
    <s v="Startup_332"/>
    <x v="3"/>
    <n v="2"/>
    <n v="48190000"/>
    <n v="448460000"/>
    <n v="53180000"/>
    <n v="2163"/>
    <n v="7.8600000000000003E-2"/>
    <b v="1"/>
    <n v="2012"/>
    <x v="3"/>
    <s v="Private"/>
    <n v="9.31"/>
    <n v="24586"/>
    <n v="13"/>
  </r>
  <r>
    <s v="Startup_333"/>
    <x v="6"/>
    <n v="1"/>
    <n v="61510000"/>
    <n v="540030000"/>
    <n v="83830000"/>
    <n v="2666"/>
    <n v="4.2500000000000003E-2"/>
    <b v="0"/>
    <n v="2003"/>
    <x v="3"/>
    <s v="Private"/>
    <n v="8.7799999999999994"/>
    <n v="31444"/>
    <n v="22"/>
  </r>
  <r>
    <s v="Startup_334"/>
    <x v="5"/>
    <n v="5"/>
    <n v="27800000"/>
    <n v="142410000"/>
    <n v="28600000"/>
    <n v="2069"/>
    <n v="5.0500000000000003E-2"/>
    <b v="1"/>
    <n v="1996"/>
    <x v="0"/>
    <s v="Acquired"/>
    <n v="5.12"/>
    <n v="13823"/>
    <n v="29"/>
  </r>
  <r>
    <s v="Startup_335"/>
    <x v="7"/>
    <n v="4"/>
    <n v="46520000"/>
    <n v="355640000"/>
    <n v="42980000"/>
    <n v="3856"/>
    <n v="7.8700000000000006E-2"/>
    <b v="0"/>
    <n v="2021"/>
    <x v="3"/>
    <s v="Private"/>
    <n v="7.64"/>
    <n v="11146"/>
    <n v="4"/>
  </r>
  <r>
    <s v="Startup_336"/>
    <x v="5"/>
    <n v="5"/>
    <n v="136380000"/>
    <n v="1986490000"/>
    <n v="26850000"/>
    <n v="3258"/>
    <n v="6.0299999999999999E-2"/>
    <b v="1"/>
    <n v="2004"/>
    <x v="2"/>
    <s v="Acquired"/>
    <n v="14.57"/>
    <n v="8241"/>
    <n v="21"/>
  </r>
  <r>
    <s v="Startup_337"/>
    <x v="6"/>
    <n v="4"/>
    <n v="159340000"/>
    <n v="953330000"/>
    <n v="78940000"/>
    <n v="4984"/>
    <n v="2.0899999999999998E-2"/>
    <b v="0"/>
    <n v="2006"/>
    <x v="3"/>
    <s v="Acquired"/>
    <n v="5.98"/>
    <n v="15839"/>
    <n v="19"/>
  </r>
  <r>
    <s v="Startup_338"/>
    <x v="3"/>
    <n v="5"/>
    <n v="5850000"/>
    <n v="26940000"/>
    <n v="57380000"/>
    <n v="4641"/>
    <n v="5.9400000000000001E-2"/>
    <b v="1"/>
    <n v="1994"/>
    <x v="2"/>
    <s v="Private"/>
    <n v="4.6100000000000003"/>
    <n v="12364"/>
    <n v="31"/>
  </r>
  <r>
    <s v="Startup_339"/>
    <x v="5"/>
    <n v="5"/>
    <n v="239140000"/>
    <n v="1918610000"/>
    <n v="65920000"/>
    <n v="4271"/>
    <n v="4.1399999999999999E-2"/>
    <b v="0"/>
    <n v="2016"/>
    <x v="3"/>
    <s v="Private"/>
    <n v="8.02"/>
    <n v="15434"/>
    <n v="9"/>
  </r>
  <r>
    <s v="Startup_34"/>
    <x v="7"/>
    <n v="1"/>
    <n v="20620000"/>
    <n v="108470000"/>
    <n v="69570000"/>
    <n v="1306"/>
    <n v="9.5699999999999993E-2"/>
    <b v="0"/>
    <n v="2013"/>
    <x v="2"/>
    <s v="Private"/>
    <n v="5.26"/>
    <n v="53270"/>
    <n v="12"/>
  </r>
  <r>
    <s v="Startup_340"/>
    <x v="3"/>
    <n v="5"/>
    <n v="88600000"/>
    <n v="1106090000"/>
    <n v="25310000"/>
    <n v="744"/>
    <n v="4.7500000000000001E-2"/>
    <b v="1"/>
    <n v="2012"/>
    <x v="0"/>
    <s v="Private"/>
    <n v="12.48"/>
    <n v="34019"/>
    <n v="13"/>
  </r>
  <r>
    <s v="Startup_341"/>
    <x v="0"/>
    <n v="4"/>
    <n v="273590000"/>
    <n v="2732010000"/>
    <n v="22100000"/>
    <n v="1406"/>
    <n v="3.8E-3"/>
    <b v="1"/>
    <n v="2003"/>
    <x v="2"/>
    <s v="IPO"/>
    <n v="9.99"/>
    <n v="15718"/>
    <n v="22"/>
  </r>
  <r>
    <s v="Startup_342"/>
    <x v="4"/>
    <n v="4"/>
    <n v="290270000"/>
    <n v="3242810000"/>
    <n v="48890000"/>
    <n v="3264"/>
    <n v="2.18E-2"/>
    <b v="1"/>
    <n v="2004"/>
    <x v="1"/>
    <s v="Private"/>
    <n v="11.17"/>
    <n v="14979"/>
    <n v="21"/>
  </r>
  <r>
    <s v="Startup_343"/>
    <x v="7"/>
    <n v="5"/>
    <n v="56040000"/>
    <n v="295690000"/>
    <n v="73780000"/>
    <n v="2282"/>
    <n v="2.8799999999999999E-2"/>
    <b v="1"/>
    <n v="2022"/>
    <x v="2"/>
    <s v="Private"/>
    <n v="5.28"/>
    <n v="32331"/>
    <n v="3"/>
  </r>
  <r>
    <s v="Startup_344"/>
    <x v="0"/>
    <n v="2"/>
    <n v="138900000"/>
    <n v="1448360000"/>
    <n v="52570000"/>
    <n v="3909"/>
    <n v="7.1599999999999997E-2"/>
    <b v="1"/>
    <n v="2020"/>
    <x v="0"/>
    <s v="Private"/>
    <n v="10.43"/>
    <n v="13448"/>
    <n v="5"/>
  </r>
  <r>
    <s v="Startup_345"/>
    <x v="3"/>
    <n v="3"/>
    <n v="870000"/>
    <n v="5990000"/>
    <n v="3360000"/>
    <n v="3928"/>
    <n v="2.0999999999999999E-3"/>
    <b v="0"/>
    <n v="2006"/>
    <x v="2"/>
    <s v="Private"/>
    <n v="6.89"/>
    <n v="855"/>
    <n v="19"/>
  </r>
  <r>
    <s v="Startup_346"/>
    <x v="3"/>
    <n v="3"/>
    <n v="179700000"/>
    <n v="2338190000"/>
    <n v="86870000"/>
    <n v="4219"/>
    <n v="4.1500000000000002E-2"/>
    <b v="0"/>
    <n v="2017"/>
    <x v="3"/>
    <s v="Private"/>
    <n v="13.01"/>
    <n v="20590"/>
    <n v="8"/>
  </r>
  <r>
    <s v="Startup_347"/>
    <x v="1"/>
    <n v="3"/>
    <n v="182390000"/>
    <n v="1924500000"/>
    <n v="6560000"/>
    <n v="3232"/>
    <n v="9.2499999999999999E-2"/>
    <b v="0"/>
    <n v="2008"/>
    <x v="3"/>
    <s v="Private"/>
    <n v="10.55"/>
    <n v="2030"/>
    <n v="17"/>
  </r>
  <r>
    <s v="Startup_348"/>
    <x v="1"/>
    <n v="4"/>
    <n v="74640000"/>
    <n v="402030000"/>
    <n v="95590000"/>
    <n v="2836"/>
    <n v="1.21E-2"/>
    <b v="1"/>
    <n v="2012"/>
    <x v="0"/>
    <s v="Private"/>
    <n v="5.39"/>
    <n v="33706"/>
    <n v="13"/>
  </r>
  <r>
    <s v="Startup_349"/>
    <x v="0"/>
    <n v="4"/>
    <n v="167740000"/>
    <n v="633290000"/>
    <n v="2610000"/>
    <n v="3763"/>
    <n v="5.21E-2"/>
    <b v="1"/>
    <n v="2021"/>
    <x v="4"/>
    <s v="Acquired"/>
    <n v="3.78"/>
    <n v="694"/>
    <n v="4"/>
  </r>
  <r>
    <s v="Startup_35"/>
    <x v="6"/>
    <n v="2"/>
    <n v="121870000"/>
    <n v="1434400000"/>
    <n v="74620000"/>
    <n v="4168"/>
    <n v="1.5699999999999999E-2"/>
    <b v="1"/>
    <n v="2006"/>
    <x v="3"/>
    <s v="Private"/>
    <n v="11.77"/>
    <n v="17903"/>
    <n v="19"/>
  </r>
  <r>
    <s v="Startup_350"/>
    <x v="2"/>
    <n v="2"/>
    <n v="68050000"/>
    <n v="238960000"/>
    <n v="69480000"/>
    <n v="2517"/>
    <n v="7.8899999999999998E-2"/>
    <b v="0"/>
    <n v="2002"/>
    <x v="3"/>
    <s v="Private"/>
    <n v="3.51"/>
    <n v="27604"/>
    <n v="23"/>
  </r>
  <r>
    <s v="Startup_351"/>
    <x v="0"/>
    <n v="3"/>
    <n v="48670000"/>
    <n v="362930000"/>
    <n v="8310000"/>
    <n v="2156"/>
    <n v="9.4299999999999995E-2"/>
    <b v="1"/>
    <n v="2009"/>
    <x v="1"/>
    <s v="Private"/>
    <n v="7.46"/>
    <n v="3854"/>
    <n v="16"/>
  </r>
  <r>
    <s v="Startup_352"/>
    <x v="1"/>
    <n v="3"/>
    <n v="195630000"/>
    <n v="1210990000"/>
    <n v="91080000"/>
    <n v="3680"/>
    <n v="7.4899999999999994E-2"/>
    <b v="1"/>
    <n v="1994"/>
    <x v="0"/>
    <s v="Private"/>
    <n v="6.19"/>
    <n v="24750"/>
    <n v="31"/>
  </r>
  <r>
    <s v="Startup_353"/>
    <x v="3"/>
    <n v="5"/>
    <n v="98110000"/>
    <n v="1054980000"/>
    <n v="46500000"/>
    <n v="2750"/>
    <n v="7.2300000000000003E-2"/>
    <b v="1"/>
    <n v="1998"/>
    <x v="2"/>
    <s v="Acquired"/>
    <n v="10.75"/>
    <n v="16909"/>
    <n v="27"/>
  </r>
  <r>
    <s v="Startup_354"/>
    <x v="6"/>
    <n v="4"/>
    <n v="177280000"/>
    <n v="1594100000"/>
    <n v="13840000"/>
    <n v="3871"/>
    <n v="8.2799999999999999E-2"/>
    <b v="0"/>
    <n v="2018"/>
    <x v="2"/>
    <s v="Private"/>
    <n v="8.99"/>
    <n v="3575"/>
    <n v="7"/>
  </r>
  <r>
    <s v="Startup_355"/>
    <x v="0"/>
    <n v="3"/>
    <n v="130260000"/>
    <n v="806600000"/>
    <n v="34150000"/>
    <n v="3769"/>
    <n v="4.5199999999999997E-2"/>
    <b v="0"/>
    <n v="1995"/>
    <x v="1"/>
    <s v="Private"/>
    <n v="6.19"/>
    <n v="9061"/>
    <n v="30"/>
  </r>
  <r>
    <s v="Startup_356"/>
    <x v="3"/>
    <n v="2"/>
    <n v="295310000"/>
    <n v="1414790000"/>
    <n v="16570000"/>
    <n v="2227"/>
    <n v="8.0799999999999997E-2"/>
    <b v="0"/>
    <n v="2014"/>
    <x v="3"/>
    <s v="Private"/>
    <n v="4.79"/>
    <n v="7441"/>
    <n v="11"/>
  </r>
  <r>
    <s v="Startup_357"/>
    <x v="6"/>
    <n v="2"/>
    <n v="45300000"/>
    <n v="205050000"/>
    <n v="17140000"/>
    <n v="2797"/>
    <n v="1.8E-3"/>
    <b v="1"/>
    <n v="2020"/>
    <x v="0"/>
    <s v="Acquired"/>
    <n v="4.53"/>
    <n v="6128"/>
    <n v="5"/>
  </r>
  <r>
    <s v="Startup_358"/>
    <x v="6"/>
    <n v="3"/>
    <n v="139650000"/>
    <n v="1867950000"/>
    <n v="94820000"/>
    <n v="1702"/>
    <n v="9.2499999999999999E-2"/>
    <b v="0"/>
    <n v="2011"/>
    <x v="1"/>
    <s v="Private"/>
    <n v="13.38"/>
    <n v="55711"/>
    <n v="14"/>
  </r>
  <r>
    <s v="Startup_359"/>
    <x v="1"/>
    <n v="4"/>
    <n v="204300000"/>
    <n v="1209810000"/>
    <n v="44580000"/>
    <n v="3467"/>
    <n v="4.4900000000000002E-2"/>
    <b v="0"/>
    <n v="1991"/>
    <x v="3"/>
    <s v="Private"/>
    <n v="5.92"/>
    <n v="12858"/>
    <n v="34"/>
  </r>
  <r>
    <s v="Startup_36"/>
    <x v="2"/>
    <n v="1"/>
    <n v="149490000"/>
    <n v="728610000"/>
    <n v="98200000"/>
    <n v="3145"/>
    <n v="6.83E-2"/>
    <b v="0"/>
    <n v="1996"/>
    <x v="2"/>
    <s v="Private"/>
    <n v="4.87"/>
    <n v="31224"/>
    <n v="29"/>
  </r>
  <r>
    <s v="Startup_360"/>
    <x v="0"/>
    <n v="2"/>
    <n v="118970000"/>
    <n v="1287320000"/>
    <n v="78900000"/>
    <n v="4068"/>
    <n v="5.5800000000000002E-2"/>
    <b v="1"/>
    <n v="1994"/>
    <x v="0"/>
    <s v="Private"/>
    <n v="10.82"/>
    <n v="19395"/>
    <n v="31"/>
  </r>
  <r>
    <s v="Startup_361"/>
    <x v="5"/>
    <n v="5"/>
    <n v="292420000"/>
    <n v="3721990000"/>
    <n v="64000000"/>
    <n v="1529"/>
    <n v="2.6200000000000001E-2"/>
    <b v="1"/>
    <n v="2016"/>
    <x v="2"/>
    <s v="IPO"/>
    <n v="12.73"/>
    <n v="41857"/>
    <n v="9"/>
  </r>
  <r>
    <s v="Startup_362"/>
    <x v="7"/>
    <n v="2"/>
    <n v="216710000"/>
    <n v="2247060000"/>
    <n v="67670000"/>
    <n v="4765"/>
    <n v="7.4499999999999997E-2"/>
    <b v="1"/>
    <n v="2014"/>
    <x v="0"/>
    <s v="Private"/>
    <n v="10.37"/>
    <n v="14201"/>
    <n v="11"/>
  </r>
  <r>
    <s v="Startup_363"/>
    <x v="1"/>
    <n v="1"/>
    <n v="197270000"/>
    <n v="2626610000"/>
    <n v="13260000"/>
    <n v="37"/>
    <n v="8.6E-3"/>
    <b v="0"/>
    <n v="1997"/>
    <x v="4"/>
    <s v="Private"/>
    <n v="13.31"/>
    <n v="358378"/>
    <n v="28"/>
  </r>
  <r>
    <s v="Startup_364"/>
    <x v="1"/>
    <n v="1"/>
    <n v="227240000"/>
    <n v="1751730000"/>
    <n v="23500000"/>
    <n v="4030"/>
    <n v="8.7400000000000005E-2"/>
    <b v="0"/>
    <n v="1990"/>
    <x v="0"/>
    <s v="Acquired"/>
    <n v="7.71"/>
    <n v="5831"/>
    <n v="35"/>
  </r>
  <r>
    <s v="Startup_365"/>
    <x v="5"/>
    <n v="4"/>
    <n v="285820000"/>
    <n v="4137150000"/>
    <n v="78700000"/>
    <n v="2571"/>
    <n v="8.3000000000000004E-2"/>
    <b v="1"/>
    <n v="2009"/>
    <x v="4"/>
    <s v="Acquired"/>
    <n v="14.47"/>
    <n v="30611"/>
    <n v="16"/>
  </r>
  <r>
    <s v="Startup_366"/>
    <x v="7"/>
    <n v="3"/>
    <n v="272390000"/>
    <n v="1252380000"/>
    <n v="97080000"/>
    <n v="2808"/>
    <n v="2.24E-2"/>
    <b v="0"/>
    <n v="2012"/>
    <x v="0"/>
    <s v="Private"/>
    <n v="4.5999999999999996"/>
    <n v="34573"/>
    <n v="13"/>
  </r>
  <r>
    <s v="Startup_367"/>
    <x v="3"/>
    <n v="4"/>
    <n v="217420000"/>
    <n v="918770000"/>
    <n v="26340000"/>
    <n v="3901"/>
    <n v="8.1100000000000005E-2"/>
    <b v="0"/>
    <n v="2021"/>
    <x v="4"/>
    <s v="IPO"/>
    <n v="4.2300000000000004"/>
    <n v="6752"/>
    <n v="4"/>
  </r>
  <r>
    <s v="Startup_368"/>
    <x v="2"/>
    <n v="4"/>
    <n v="224870000"/>
    <n v="2452050000"/>
    <n v="27230000"/>
    <n v="3714"/>
    <n v="7.8799999999999995E-2"/>
    <b v="0"/>
    <n v="2000"/>
    <x v="2"/>
    <s v="Acquired"/>
    <n v="10.9"/>
    <n v="7332"/>
    <n v="25"/>
  </r>
  <r>
    <s v="Startup_369"/>
    <x v="0"/>
    <n v="4"/>
    <n v="44200000"/>
    <n v="632680000"/>
    <n v="47340000"/>
    <n v="724"/>
    <n v="6.3600000000000004E-2"/>
    <b v="0"/>
    <n v="2013"/>
    <x v="3"/>
    <s v="Private"/>
    <n v="14.31"/>
    <n v="65387"/>
    <n v="12"/>
  </r>
  <r>
    <s v="Startup_37"/>
    <x v="4"/>
    <n v="3"/>
    <n v="216200000"/>
    <n v="1257150000"/>
    <n v="21060000"/>
    <n v="3241"/>
    <n v="2.3300000000000001E-2"/>
    <b v="0"/>
    <n v="1990"/>
    <x v="0"/>
    <s v="Private"/>
    <n v="5.81"/>
    <n v="6498"/>
    <n v="35"/>
  </r>
  <r>
    <s v="Startup_370"/>
    <x v="2"/>
    <n v="4"/>
    <n v="31290000"/>
    <n v="397590000"/>
    <n v="98390000"/>
    <n v="4584"/>
    <n v="3.7999999999999999E-2"/>
    <b v="0"/>
    <n v="2000"/>
    <x v="4"/>
    <s v="Private"/>
    <n v="12.71"/>
    <n v="21464"/>
    <n v="25"/>
  </r>
  <r>
    <s v="Startup_371"/>
    <x v="3"/>
    <n v="5"/>
    <n v="171490000"/>
    <n v="671730000"/>
    <n v="26970000"/>
    <n v="977"/>
    <n v="2.7900000000000001E-2"/>
    <b v="0"/>
    <n v="2018"/>
    <x v="4"/>
    <s v="Acquired"/>
    <n v="3.92"/>
    <n v="27605"/>
    <n v="7"/>
  </r>
  <r>
    <s v="Startup_372"/>
    <x v="4"/>
    <n v="5"/>
    <n v="6000000"/>
    <n v="38110000"/>
    <n v="40760000"/>
    <n v="3723"/>
    <n v="2.3900000000000001E-2"/>
    <b v="0"/>
    <n v="2015"/>
    <x v="2"/>
    <s v="Private"/>
    <n v="6.35"/>
    <n v="10948"/>
    <n v="10"/>
  </r>
  <r>
    <s v="Startup_373"/>
    <x v="1"/>
    <n v="2"/>
    <n v="144970000"/>
    <n v="2053330000"/>
    <n v="89160000"/>
    <n v="4407"/>
    <n v="3.2500000000000001E-2"/>
    <b v="0"/>
    <n v="2005"/>
    <x v="4"/>
    <s v="Acquired"/>
    <n v="14.16"/>
    <n v="20231"/>
    <n v="20"/>
  </r>
  <r>
    <s v="Startup_374"/>
    <x v="7"/>
    <n v="1"/>
    <n v="63500000"/>
    <n v="383330000"/>
    <n v="390000"/>
    <n v="4557"/>
    <n v="9.0499999999999997E-2"/>
    <b v="1"/>
    <n v="2009"/>
    <x v="1"/>
    <s v="Acquired"/>
    <n v="6.04"/>
    <n v="86"/>
    <n v="16"/>
  </r>
  <r>
    <s v="Startup_375"/>
    <x v="1"/>
    <n v="4"/>
    <n v="104130000"/>
    <n v="1288510000"/>
    <n v="4070000"/>
    <n v="2212"/>
    <n v="8.6999999999999994E-3"/>
    <b v="0"/>
    <n v="1992"/>
    <x v="2"/>
    <s v="Acquired"/>
    <n v="12.37"/>
    <n v="1840"/>
    <n v="33"/>
  </r>
  <r>
    <s v="Startup_376"/>
    <x v="6"/>
    <n v="2"/>
    <n v="232850000"/>
    <n v="3004130000"/>
    <n v="60450000"/>
    <n v="4431"/>
    <n v="8.3099999999999993E-2"/>
    <b v="1"/>
    <n v="1990"/>
    <x v="1"/>
    <s v="Private"/>
    <n v="12.9"/>
    <n v="13643"/>
    <n v="35"/>
  </r>
  <r>
    <s v="Startup_377"/>
    <x v="1"/>
    <n v="1"/>
    <n v="282400000"/>
    <n v="2526190000"/>
    <n v="90750000"/>
    <n v="4325"/>
    <n v="3.5499999999999997E-2"/>
    <b v="0"/>
    <n v="1990"/>
    <x v="2"/>
    <s v="Acquired"/>
    <n v="8.9499999999999993"/>
    <n v="20983"/>
    <n v="35"/>
  </r>
  <r>
    <s v="Startup_378"/>
    <x v="1"/>
    <n v="3"/>
    <n v="22190000"/>
    <n v="169450000"/>
    <n v="23960000"/>
    <n v="3035"/>
    <n v="5.2600000000000001E-2"/>
    <b v="0"/>
    <n v="2006"/>
    <x v="4"/>
    <s v="Acquired"/>
    <n v="7.64"/>
    <n v="7895"/>
    <n v="19"/>
  </r>
  <r>
    <s v="Startup_379"/>
    <x v="3"/>
    <n v="5"/>
    <n v="160510000"/>
    <n v="1348520000"/>
    <n v="47020000"/>
    <n v="3580"/>
    <n v="7.9699999999999993E-2"/>
    <b v="1"/>
    <n v="1991"/>
    <x v="1"/>
    <s v="Private"/>
    <n v="8.4"/>
    <n v="13134"/>
    <n v="34"/>
  </r>
  <r>
    <s v="Startup_38"/>
    <x v="0"/>
    <n v="1"/>
    <n v="32420000"/>
    <n v="472040000"/>
    <n v="82530000"/>
    <n v="2357"/>
    <n v="4.3700000000000003E-2"/>
    <b v="0"/>
    <n v="2021"/>
    <x v="4"/>
    <s v="Private"/>
    <n v="14.56"/>
    <n v="35015"/>
    <n v="4"/>
  </r>
  <r>
    <s v="Startup_380"/>
    <x v="3"/>
    <n v="1"/>
    <n v="264820000"/>
    <n v="1515720000"/>
    <n v="45100000"/>
    <n v="3121"/>
    <n v="8.8599999999999998E-2"/>
    <b v="0"/>
    <n v="2018"/>
    <x v="4"/>
    <s v="Private"/>
    <n v="5.72"/>
    <n v="14450"/>
    <n v="7"/>
  </r>
  <r>
    <s v="Startup_381"/>
    <x v="3"/>
    <n v="3"/>
    <n v="25210000"/>
    <n v="344690000"/>
    <n v="47350000"/>
    <n v="3290"/>
    <n v="3.5099999999999999E-2"/>
    <b v="0"/>
    <n v="2009"/>
    <x v="2"/>
    <s v="IPO"/>
    <n v="13.67"/>
    <n v="14392"/>
    <n v="16"/>
  </r>
  <r>
    <s v="Startup_382"/>
    <x v="2"/>
    <n v="1"/>
    <n v="247440000"/>
    <n v="2080340000"/>
    <n v="62290000"/>
    <n v="648"/>
    <n v="4.6699999999999998E-2"/>
    <b v="0"/>
    <n v="1995"/>
    <x v="4"/>
    <s v="Private"/>
    <n v="8.41"/>
    <n v="96127"/>
    <n v="30"/>
  </r>
  <r>
    <s v="Startup_383"/>
    <x v="6"/>
    <n v="5"/>
    <n v="107660000"/>
    <n v="1463050000"/>
    <n v="47030000"/>
    <n v="4716"/>
    <n v="4.2000000000000003E-2"/>
    <b v="1"/>
    <n v="1997"/>
    <x v="1"/>
    <s v="Acquired"/>
    <n v="13.59"/>
    <n v="9972"/>
    <n v="28"/>
  </r>
  <r>
    <s v="Startup_384"/>
    <x v="4"/>
    <n v="5"/>
    <n v="96970000"/>
    <n v="413900000"/>
    <n v="44800000"/>
    <n v="199"/>
    <n v="2.3E-3"/>
    <b v="0"/>
    <n v="2018"/>
    <x v="1"/>
    <s v="Private"/>
    <n v="4.2699999999999996"/>
    <n v="225126"/>
    <n v="7"/>
  </r>
  <r>
    <s v="Startup_385"/>
    <x v="4"/>
    <n v="2"/>
    <n v="293250000"/>
    <n v="4357490000"/>
    <n v="47480000"/>
    <n v="4001"/>
    <n v="3.0300000000000001E-2"/>
    <b v="0"/>
    <n v="2022"/>
    <x v="4"/>
    <s v="Private"/>
    <n v="14.86"/>
    <n v="11867"/>
    <n v="3"/>
  </r>
  <r>
    <s v="Startup_386"/>
    <x v="3"/>
    <n v="4"/>
    <n v="60660000"/>
    <n v="504650000"/>
    <n v="59130000"/>
    <n v="493"/>
    <n v="4.65E-2"/>
    <b v="1"/>
    <n v="1992"/>
    <x v="0"/>
    <s v="Private"/>
    <n v="8.32"/>
    <n v="119939"/>
    <n v="33"/>
  </r>
  <r>
    <s v="Startup_387"/>
    <x v="7"/>
    <n v="1"/>
    <n v="208110000"/>
    <n v="743780000"/>
    <n v="53750000"/>
    <n v="2209"/>
    <n v="4.1700000000000001E-2"/>
    <b v="0"/>
    <n v="1994"/>
    <x v="2"/>
    <s v="Private"/>
    <n v="3.57"/>
    <n v="24332"/>
    <n v="31"/>
  </r>
  <r>
    <s v="Startup_388"/>
    <x v="2"/>
    <n v="1"/>
    <n v="246520000"/>
    <n v="852040000"/>
    <n v="85430000"/>
    <n v="2662"/>
    <n v="7.2499999999999995E-2"/>
    <b v="0"/>
    <n v="2016"/>
    <x v="2"/>
    <s v="Private"/>
    <n v="3.46"/>
    <n v="32092"/>
    <n v="9"/>
  </r>
  <r>
    <s v="Startup_389"/>
    <x v="5"/>
    <n v="3"/>
    <n v="12830000"/>
    <n v="153380000"/>
    <n v="5040000"/>
    <n v="3281"/>
    <n v="3.9100000000000003E-2"/>
    <b v="0"/>
    <n v="2001"/>
    <x v="4"/>
    <s v="Acquired"/>
    <n v="11.95"/>
    <n v="1536"/>
    <n v="24"/>
  </r>
  <r>
    <s v="Startup_39"/>
    <x v="3"/>
    <n v="5"/>
    <n v="42440000"/>
    <n v="257340000"/>
    <n v="52080000"/>
    <n v="1937"/>
    <n v="7.22E-2"/>
    <b v="1"/>
    <n v="2002"/>
    <x v="4"/>
    <s v="Private"/>
    <n v="6.06"/>
    <n v="26887"/>
    <n v="23"/>
  </r>
  <r>
    <s v="Startup_390"/>
    <x v="7"/>
    <n v="5"/>
    <n v="201280000"/>
    <n v="2195650000"/>
    <n v="83350000"/>
    <n v="1107"/>
    <n v="4.9399999999999999E-2"/>
    <b v="1"/>
    <n v="2009"/>
    <x v="0"/>
    <s v="Private"/>
    <n v="10.91"/>
    <n v="75294"/>
    <n v="16"/>
  </r>
  <r>
    <s v="Startup_391"/>
    <x v="0"/>
    <n v="1"/>
    <n v="285490000"/>
    <n v="3604470000"/>
    <n v="84410000"/>
    <n v="1246"/>
    <n v="4.3499999999999997E-2"/>
    <b v="0"/>
    <n v="2009"/>
    <x v="1"/>
    <s v="Acquired"/>
    <n v="12.63"/>
    <n v="67745"/>
    <n v="16"/>
  </r>
  <r>
    <s v="Startup_392"/>
    <x v="0"/>
    <n v="5"/>
    <n v="37700000"/>
    <n v="160770000"/>
    <n v="28560000"/>
    <n v="520"/>
    <n v="7.4300000000000005E-2"/>
    <b v="0"/>
    <n v="1998"/>
    <x v="3"/>
    <s v="Private"/>
    <n v="4.26"/>
    <n v="54923"/>
    <n v="27"/>
  </r>
  <r>
    <s v="Startup_393"/>
    <x v="7"/>
    <n v="1"/>
    <n v="268920000"/>
    <n v="921550000"/>
    <n v="46340000"/>
    <n v="397"/>
    <n v="8.6400000000000005E-2"/>
    <b v="0"/>
    <n v="1993"/>
    <x v="3"/>
    <s v="Private"/>
    <n v="3.43"/>
    <n v="116725"/>
    <n v="32"/>
  </r>
  <r>
    <s v="Startup_394"/>
    <x v="3"/>
    <n v="2"/>
    <n v="178640000"/>
    <n v="1626150000"/>
    <n v="43910000"/>
    <n v="635"/>
    <n v="5.3699999999999998E-2"/>
    <b v="1"/>
    <n v="2008"/>
    <x v="4"/>
    <s v="Private"/>
    <n v="9.1"/>
    <n v="69150"/>
    <n v="17"/>
  </r>
  <r>
    <s v="Startup_395"/>
    <x v="5"/>
    <n v="4"/>
    <n v="185170000"/>
    <n v="1416760000"/>
    <n v="21930000"/>
    <n v="3721"/>
    <n v="7.9200000000000007E-2"/>
    <b v="0"/>
    <n v="2016"/>
    <x v="0"/>
    <s v="Private"/>
    <n v="7.65"/>
    <n v="5894"/>
    <n v="9"/>
  </r>
  <r>
    <s v="Startup_396"/>
    <x v="5"/>
    <n v="1"/>
    <n v="184080000"/>
    <n v="1572660000"/>
    <n v="39740000"/>
    <n v="1852"/>
    <n v="3.04E-2"/>
    <b v="1"/>
    <n v="2002"/>
    <x v="0"/>
    <s v="Private"/>
    <n v="8.5399999999999991"/>
    <n v="21458"/>
    <n v="23"/>
  </r>
  <r>
    <s v="Startup_397"/>
    <x v="2"/>
    <n v="5"/>
    <n v="90000000"/>
    <n v="1340920000"/>
    <n v="4530000"/>
    <n v="2660"/>
    <n v="5.4600000000000003E-2"/>
    <b v="0"/>
    <n v="2002"/>
    <x v="2"/>
    <s v="Private"/>
    <n v="14.9"/>
    <n v="1703"/>
    <n v="23"/>
  </r>
  <r>
    <s v="Startup_398"/>
    <x v="5"/>
    <n v="2"/>
    <n v="280590000"/>
    <n v="4110360000"/>
    <n v="27850000"/>
    <n v="984"/>
    <n v="3.5200000000000002E-2"/>
    <b v="1"/>
    <n v="2011"/>
    <x v="1"/>
    <s v="IPO"/>
    <n v="14.65"/>
    <n v="28303"/>
    <n v="14"/>
  </r>
  <r>
    <s v="Startup_399"/>
    <x v="0"/>
    <n v="1"/>
    <n v="284230000"/>
    <n v="4066700000"/>
    <n v="81690000"/>
    <n v="4534"/>
    <n v="4.2000000000000003E-2"/>
    <b v="1"/>
    <n v="2017"/>
    <x v="0"/>
    <s v="Private"/>
    <n v="14.31"/>
    <n v="18017"/>
    <n v="8"/>
  </r>
  <r>
    <s v="Startup_4"/>
    <x v="4"/>
    <n v="5"/>
    <n v="10750000"/>
    <n v="101900000"/>
    <n v="47080000"/>
    <n v="1059"/>
    <n v="2.53E-2"/>
    <b v="0"/>
    <n v="2003"/>
    <x v="2"/>
    <s v="Private"/>
    <n v="9.48"/>
    <n v="44457"/>
    <n v="22"/>
  </r>
  <r>
    <s v="Startup_40"/>
    <x v="1"/>
    <n v="4"/>
    <n v="79470000"/>
    <n v="869370000"/>
    <n v="37410000"/>
    <n v="2726"/>
    <n v="5.6800000000000003E-2"/>
    <b v="1"/>
    <n v="1995"/>
    <x v="0"/>
    <s v="Acquired"/>
    <n v="10.94"/>
    <n v="13723"/>
    <n v="30"/>
  </r>
  <r>
    <s v="Startup_400"/>
    <x v="6"/>
    <n v="3"/>
    <n v="187780000"/>
    <n v="2329620000"/>
    <n v="28530000"/>
    <n v="3407"/>
    <n v="7.3499999999999996E-2"/>
    <b v="0"/>
    <n v="2011"/>
    <x v="3"/>
    <s v="Private"/>
    <n v="12.41"/>
    <n v="8374"/>
    <n v="14"/>
  </r>
  <r>
    <s v="Startup_401"/>
    <x v="3"/>
    <n v="4"/>
    <n v="235140000"/>
    <n v="1706670000"/>
    <n v="81840000"/>
    <n v="3876"/>
    <n v="8.8300000000000003E-2"/>
    <b v="0"/>
    <n v="2008"/>
    <x v="1"/>
    <s v="Private"/>
    <n v="7.26"/>
    <n v="21115"/>
    <n v="17"/>
  </r>
  <r>
    <s v="Startup_402"/>
    <x v="5"/>
    <n v="1"/>
    <n v="183870000"/>
    <n v="1460950000"/>
    <n v="53210000"/>
    <n v="282"/>
    <n v="1.2999999999999999E-2"/>
    <b v="0"/>
    <n v="1997"/>
    <x v="1"/>
    <s v="Private"/>
    <n v="7.95"/>
    <n v="188688"/>
    <n v="28"/>
  </r>
  <r>
    <s v="Startup_403"/>
    <x v="2"/>
    <n v="2"/>
    <n v="145580000"/>
    <n v="1396900000"/>
    <n v="88000000"/>
    <n v="237"/>
    <n v="6.3799999999999996E-2"/>
    <b v="0"/>
    <n v="1997"/>
    <x v="4"/>
    <s v="IPO"/>
    <n v="9.6"/>
    <n v="371308"/>
    <n v="28"/>
  </r>
  <r>
    <s v="Startup_404"/>
    <x v="0"/>
    <n v="3"/>
    <n v="198420000"/>
    <n v="2572800000"/>
    <n v="57520000"/>
    <n v="1557"/>
    <n v="5.8599999999999999E-2"/>
    <b v="1"/>
    <n v="2015"/>
    <x v="0"/>
    <s v="Private"/>
    <n v="12.97"/>
    <n v="36943"/>
    <n v="10"/>
  </r>
  <r>
    <s v="Startup_405"/>
    <x v="6"/>
    <n v="2"/>
    <n v="166120000"/>
    <n v="635330000"/>
    <n v="3060000"/>
    <n v="3275"/>
    <n v="1.2699999999999999E-2"/>
    <b v="0"/>
    <n v="2015"/>
    <x v="4"/>
    <s v="Private"/>
    <n v="3.82"/>
    <n v="934"/>
    <n v="10"/>
  </r>
  <r>
    <s v="Startup_406"/>
    <x v="1"/>
    <n v="2"/>
    <n v="179440000"/>
    <n v="1451950000"/>
    <n v="67570000"/>
    <n v="2414"/>
    <n v="2.1999999999999999E-2"/>
    <b v="0"/>
    <n v="2012"/>
    <x v="0"/>
    <s v="Acquired"/>
    <n v="8.09"/>
    <n v="27991"/>
    <n v="13"/>
  </r>
  <r>
    <s v="Startup_407"/>
    <x v="1"/>
    <n v="3"/>
    <n v="235260000"/>
    <n v="939020000"/>
    <n v="4580000"/>
    <n v="3517"/>
    <n v="3.1800000000000002E-2"/>
    <b v="0"/>
    <n v="2002"/>
    <x v="2"/>
    <s v="Private"/>
    <n v="3.99"/>
    <n v="1302"/>
    <n v="23"/>
  </r>
  <r>
    <s v="Startup_408"/>
    <x v="6"/>
    <n v="2"/>
    <n v="144530000"/>
    <n v="1326190000"/>
    <n v="45110000"/>
    <n v="30"/>
    <n v="1.7500000000000002E-2"/>
    <b v="1"/>
    <n v="2017"/>
    <x v="4"/>
    <s v="Private"/>
    <n v="9.18"/>
    <n v="1503667"/>
    <n v="8"/>
  </r>
  <r>
    <s v="Startup_409"/>
    <x v="0"/>
    <n v="3"/>
    <n v="12710000"/>
    <n v="175230000"/>
    <n v="92950000"/>
    <n v="465"/>
    <n v="2.5100000000000001E-2"/>
    <b v="0"/>
    <n v="1998"/>
    <x v="4"/>
    <s v="Private"/>
    <n v="13.79"/>
    <n v="199892"/>
    <n v="27"/>
  </r>
  <r>
    <s v="Startup_41"/>
    <x v="0"/>
    <n v="1"/>
    <n v="80320000"/>
    <n v="1184200000"/>
    <n v="12330000"/>
    <n v="369"/>
    <n v="4.3299999999999998E-2"/>
    <b v="0"/>
    <n v="2003"/>
    <x v="2"/>
    <s v="Private"/>
    <n v="14.74"/>
    <n v="33415"/>
    <n v="22"/>
  </r>
  <r>
    <s v="Startup_410"/>
    <x v="2"/>
    <n v="1"/>
    <n v="49620000"/>
    <n v="614780000"/>
    <n v="16600000"/>
    <n v="3769"/>
    <n v="2.75E-2"/>
    <b v="0"/>
    <n v="2009"/>
    <x v="3"/>
    <s v="Private"/>
    <n v="12.39"/>
    <n v="4404"/>
    <n v="16"/>
  </r>
  <r>
    <s v="Startup_411"/>
    <x v="6"/>
    <n v="3"/>
    <n v="131860000"/>
    <n v="756100000"/>
    <n v="39050000"/>
    <n v="3436"/>
    <n v="3.4200000000000001E-2"/>
    <b v="0"/>
    <n v="2008"/>
    <x v="4"/>
    <s v="IPO"/>
    <n v="5.73"/>
    <n v="11365"/>
    <n v="17"/>
  </r>
  <r>
    <s v="Startup_412"/>
    <x v="3"/>
    <n v="3"/>
    <n v="217590000"/>
    <n v="3201160000"/>
    <n v="73010000"/>
    <n v="3488"/>
    <n v="7.5200000000000003E-2"/>
    <b v="1"/>
    <n v="2001"/>
    <x v="0"/>
    <s v="Private"/>
    <n v="14.71"/>
    <n v="20932"/>
    <n v="24"/>
  </r>
  <r>
    <s v="Startup_413"/>
    <x v="3"/>
    <n v="4"/>
    <n v="178190000"/>
    <n v="1961550000"/>
    <n v="88240000"/>
    <n v="1999"/>
    <n v="5.7599999999999998E-2"/>
    <b v="1"/>
    <n v="2004"/>
    <x v="3"/>
    <s v="Private"/>
    <n v="11.01"/>
    <n v="44142"/>
    <n v="21"/>
  </r>
  <r>
    <s v="Startup_414"/>
    <x v="1"/>
    <n v="3"/>
    <n v="195260000"/>
    <n v="610210000"/>
    <n v="67130000"/>
    <n v="495"/>
    <n v="9.8599999999999993E-2"/>
    <b v="0"/>
    <n v="2020"/>
    <x v="4"/>
    <s v="Private"/>
    <n v="3.13"/>
    <n v="135616"/>
    <n v="5"/>
  </r>
  <r>
    <s v="Startup_415"/>
    <x v="5"/>
    <n v="3"/>
    <n v="144040000"/>
    <n v="873600000"/>
    <n v="25890000"/>
    <n v="1077"/>
    <n v="4.2099999999999999E-2"/>
    <b v="0"/>
    <n v="2003"/>
    <x v="4"/>
    <s v="Private"/>
    <n v="6.06"/>
    <n v="24039"/>
    <n v="22"/>
  </r>
  <r>
    <s v="Startup_416"/>
    <x v="2"/>
    <n v="1"/>
    <n v="184910000"/>
    <n v="1133230000"/>
    <n v="67490000"/>
    <n v="3178"/>
    <n v="7.5600000000000001E-2"/>
    <b v="0"/>
    <n v="2000"/>
    <x v="2"/>
    <s v="Acquired"/>
    <n v="6.13"/>
    <n v="21237"/>
    <n v="25"/>
  </r>
  <r>
    <s v="Startup_417"/>
    <x v="1"/>
    <n v="4"/>
    <n v="99040000"/>
    <n v="379430000"/>
    <n v="29740000"/>
    <n v="220"/>
    <n v="8.7300000000000003E-2"/>
    <b v="0"/>
    <n v="2015"/>
    <x v="4"/>
    <s v="Acquired"/>
    <n v="3.83"/>
    <n v="135182"/>
    <n v="10"/>
  </r>
  <r>
    <s v="Startup_418"/>
    <x v="5"/>
    <n v="5"/>
    <n v="141320000"/>
    <n v="2051670000"/>
    <n v="71870000"/>
    <n v="1728"/>
    <n v="6.8199999999999997E-2"/>
    <b v="1"/>
    <n v="2016"/>
    <x v="1"/>
    <s v="Private"/>
    <n v="14.52"/>
    <n v="41591"/>
    <n v="9"/>
  </r>
  <r>
    <s v="Startup_419"/>
    <x v="5"/>
    <n v="1"/>
    <n v="223410000"/>
    <n v="1952390000"/>
    <n v="95410000"/>
    <n v="1597"/>
    <n v="4.1799999999999997E-2"/>
    <b v="1"/>
    <n v="2000"/>
    <x v="3"/>
    <s v="Private"/>
    <n v="8.74"/>
    <n v="59743"/>
    <n v="25"/>
  </r>
  <r>
    <s v="Startup_42"/>
    <x v="1"/>
    <n v="5"/>
    <n v="219790000"/>
    <n v="1646570000"/>
    <n v="73580000"/>
    <n v="4921"/>
    <n v="3.3300000000000003E-2"/>
    <b v="0"/>
    <n v="2004"/>
    <x v="3"/>
    <s v="Private"/>
    <n v="7.49"/>
    <n v="14952"/>
    <n v="21"/>
  </r>
  <r>
    <s v="Startup_420"/>
    <x v="4"/>
    <n v="1"/>
    <n v="261610000"/>
    <n v="3597080000"/>
    <n v="72170000"/>
    <n v="2611"/>
    <n v="7.5600000000000001E-2"/>
    <b v="0"/>
    <n v="2008"/>
    <x v="1"/>
    <s v="Private"/>
    <n v="13.75"/>
    <n v="27641"/>
    <n v="17"/>
  </r>
  <r>
    <s v="Startup_421"/>
    <x v="3"/>
    <n v="5"/>
    <n v="130380000"/>
    <n v="895270000"/>
    <n v="86300000"/>
    <n v="163"/>
    <n v="2.12E-2"/>
    <b v="1"/>
    <n v="1995"/>
    <x v="3"/>
    <s v="Acquired"/>
    <n v="6.87"/>
    <n v="529448"/>
    <n v="30"/>
  </r>
  <r>
    <s v="Startup_422"/>
    <x v="0"/>
    <n v="3"/>
    <n v="13580000"/>
    <n v="61150000"/>
    <n v="310000"/>
    <n v="4786"/>
    <n v="3.3399999999999999E-2"/>
    <b v="0"/>
    <n v="2017"/>
    <x v="2"/>
    <s v="Private"/>
    <n v="4.5"/>
    <n v="65"/>
    <n v="8"/>
  </r>
  <r>
    <s v="Startup_423"/>
    <x v="7"/>
    <n v="2"/>
    <n v="48920000"/>
    <n v="425210000"/>
    <n v="71790000"/>
    <n v="3318"/>
    <n v="5.5100000000000003E-2"/>
    <b v="1"/>
    <n v="1990"/>
    <x v="4"/>
    <s v="Private"/>
    <n v="8.69"/>
    <n v="21637"/>
    <n v="35"/>
  </r>
  <r>
    <s v="Startup_424"/>
    <x v="0"/>
    <n v="4"/>
    <n v="6750000"/>
    <n v="29480000"/>
    <n v="82980000"/>
    <n v="2846"/>
    <n v="5.8000000000000003E-2"/>
    <b v="1"/>
    <n v="1997"/>
    <x v="4"/>
    <s v="Private"/>
    <n v="4.37"/>
    <n v="29157"/>
    <n v="28"/>
  </r>
  <r>
    <s v="Startup_425"/>
    <x v="7"/>
    <n v="2"/>
    <n v="196150000"/>
    <n v="1732430000"/>
    <n v="4150000"/>
    <n v="1781"/>
    <n v="3.2000000000000002E-3"/>
    <b v="0"/>
    <n v="1996"/>
    <x v="4"/>
    <s v="Acquired"/>
    <n v="8.83"/>
    <n v="2330"/>
    <n v="29"/>
  </r>
  <r>
    <s v="Startup_426"/>
    <x v="6"/>
    <n v="5"/>
    <n v="100030000"/>
    <n v="1404780000"/>
    <n v="87170000"/>
    <n v="2057"/>
    <n v="9.4600000000000004E-2"/>
    <b v="1"/>
    <n v="2000"/>
    <x v="3"/>
    <s v="Private"/>
    <n v="14.04"/>
    <n v="42377"/>
    <n v="25"/>
  </r>
  <r>
    <s v="Startup_427"/>
    <x v="3"/>
    <n v="1"/>
    <n v="162970000"/>
    <n v="1507350000"/>
    <n v="25740000"/>
    <n v="2300"/>
    <n v="7.0000000000000007E-2"/>
    <b v="0"/>
    <n v="1993"/>
    <x v="4"/>
    <s v="Private"/>
    <n v="9.25"/>
    <n v="11191"/>
    <n v="32"/>
  </r>
  <r>
    <s v="Startup_428"/>
    <x v="5"/>
    <n v="1"/>
    <n v="148240000"/>
    <n v="1541400000"/>
    <n v="66560000"/>
    <n v="1701"/>
    <n v="5.0099999999999999E-2"/>
    <b v="0"/>
    <n v="2014"/>
    <x v="1"/>
    <s v="Private"/>
    <n v="10.4"/>
    <n v="39130"/>
    <n v="11"/>
  </r>
  <r>
    <s v="Startup_429"/>
    <x v="2"/>
    <n v="4"/>
    <n v="24920000"/>
    <n v="121600000"/>
    <n v="80060000"/>
    <n v="2998"/>
    <n v="9.3399999999999997E-2"/>
    <b v="0"/>
    <n v="2001"/>
    <x v="4"/>
    <s v="Private"/>
    <n v="4.88"/>
    <n v="26704"/>
    <n v="24"/>
  </r>
  <r>
    <s v="Startup_43"/>
    <x v="6"/>
    <n v="5"/>
    <n v="75590000"/>
    <n v="242660000"/>
    <n v="23660000"/>
    <n v="2395"/>
    <n v="8.4099999999999994E-2"/>
    <b v="1"/>
    <n v="1993"/>
    <x v="0"/>
    <s v="Private"/>
    <n v="3.21"/>
    <n v="9879"/>
    <n v="32"/>
  </r>
  <r>
    <s v="Startup_430"/>
    <x v="7"/>
    <n v="1"/>
    <n v="121280000"/>
    <n v="427490000"/>
    <n v="66300000"/>
    <n v="2474"/>
    <n v="4.4499999999999998E-2"/>
    <b v="0"/>
    <n v="2015"/>
    <x v="2"/>
    <s v="Private"/>
    <n v="3.52"/>
    <n v="26799"/>
    <n v="10"/>
  </r>
  <r>
    <s v="Startup_431"/>
    <x v="0"/>
    <n v="1"/>
    <n v="66560000"/>
    <n v="288180000"/>
    <n v="9320000"/>
    <n v="1951"/>
    <n v="9.8100000000000007E-2"/>
    <b v="1"/>
    <n v="2001"/>
    <x v="1"/>
    <s v="Private"/>
    <n v="4.33"/>
    <n v="4777"/>
    <n v="24"/>
  </r>
  <r>
    <s v="Startup_432"/>
    <x v="5"/>
    <n v="4"/>
    <n v="125810000"/>
    <n v="1281050000"/>
    <n v="59670000"/>
    <n v="3814"/>
    <n v="5.1700000000000003E-2"/>
    <b v="1"/>
    <n v="2013"/>
    <x v="4"/>
    <s v="Private"/>
    <n v="10.18"/>
    <n v="15645"/>
    <n v="12"/>
  </r>
  <r>
    <s v="Startup_433"/>
    <x v="7"/>
    <n v="4"/>
    <n v="61470000"/>
    <n v="254490000"/>
    <n v="55000000"/>
    <n v="2788"/>
    <n v="1.23E-2"/>
    <b v="1"/>
    <n v="2005"/>
    <x v="4"/>
    <s v="Acquired"/>
    <n v="4.1399999999999997"/>
    <n v="19727"/>
    <n v="20"/>
  </r>
  <r>
    <s v="Startup_434"/>
    <x v="7"/>
    <n v="5"/>
    <n v="252220000"/>
    <n v="1894660000"/>
    <n v="90040000"/>
    <n v="3649"/>
    <n v="7.6700000000000004E-2"/>
    <b v="1"/>
    <n v="2002"/>
    <x v="0"/>
    <s v="Private"/>
    <n v="7.51"/>
    <n v="24675"/>
    <n v="23"/>
  </r>
  <r>
    <s v="Startup_435"/>
    <x v="4"/>
    <n v="1"/>
    <n v="52670000"/>
    <n v="505690000"/>
    <n v="40480000"/>
    <n v="2505"/>
    <n v="6.8199999999999997E-2"/>
    <b v="1"/>
    <n v="2014"/>
    <x v="3"/>
    <s v="IPO"/>
    <n v="9.6"/>
    <n v="16160"/>
    <n v="11"/>
  </r>
  <r>
    <s v="Startup_436"/>
    <x v="7"/>
    <n v="1"/>
    <n v="288250000"/>
    <n v="2209100000"/>
    <n v="32180000"/>
    <n v="3650"/>
    <n v="7.7499999999999999E-2"/>
    <b v="0"/>
    <n v="1993"/>
    <x v="1"/>
    <s v="Private"/>
    <n v="7.66"/>
    <n v="8816"/>
    <n v="32"/>
  </r>
  <r>
    <s v="Startup_437"/>
    <x v="2"/>
    <n v="5"/>
    <n v="125060000"/>
    <n v="620820000"/>
    <n v="75010000"/>
    <n v="2650"/>
    <n v="9.5200000000000007E-2"/>
    <b v="0"/>
    <n v="2000"/>
    <x v="0"/>
    <s v="Private"/>
    <n v="4.96"/>
    <n v="28306"/>
    <n v="25"/>
  </r>
  <r>
    <s v="Startup_438"/>
    <x v="3"/>
    <n v="3"/>
    <n v="253950000"/>
    <n v="1596200000"/>
    <n v="41330000"/>
    <n v="2354"/>
    <n v="7.7899999999999997E-2"/>
    <b v="0"/>
    <n v="2021"/>
    <x v="2"/>
    <s v="Private"/>
    <n v="6.29"/>
    <n v="17557"/>
    <n v="4"/>
  </r>
  <r>
    <s v="Startup_439"/>
    <x v="2"/>
    <n v="3"/>
    <n v="188820000"/>
    <n v="2669880000"/>
    <n v="64650000"/>
    <n v="1937"/>
    <n v="6.1499999999999999E-2"/>
    <b v="1"/>
    <n v="1996"/>
    <x v="3"/>
    <s v="Private"/>
    <n v="14.14"/>
    <n v="33376"/>
    <n v="29"/>
  </r>
  <r>
    <s v="Startup_44"/>
    <x v="1"/>
    <n v="3"/>
    <n v="190110000"/>
    <n v="1127310000"/>
    <n v="37210000"/>
    <n v="951"/>
    <n v="1.52E-2"/>
    <b v="0"/>
    <n v="2005"/>
    <x v="1"/>
    <s v="Private"/>
    <n v="5.93"/>
    <n v="39127"/>
    <n v="20"/>
  </r>
  <r>
    <s v="Startup_440"/>
    <x v="1"/>
    <n v="3"/>
    <n v="220740000"/>
    <n v="2452820000"/>
    <n v="64680000"/>
    <n v="3299"/>
    <n v="8.5900000000000004E-2"/>
    <b v="1"/>
    <n v="2000"/>
    <x v="1"/>
    <s v="Acquired"/>
    <n v="11.11"/>
    <n v="19606"/>
    <n v="25"/>
  </r>
  <r>
    <s v="Startup_441"/>
    <x v="5"/>
    <n v="5"/>
    <n v="230430000"/>
    <n v="2062940000"/>
    <n v="88820000"/>
    <n v="1762"/>
    <n v="6.7699999999999996E-2"/>
    <b v="0"/>
    <n v="2017"/>
    <x v="4"/>
    <s v="Private"/>
    <n v="8.9499999999999993"/>
    <n v="50409"/>
    <n v="8"/>
  </r>
  <r>
    <s v="Startup_442"/>
    <x v="3"/>
    <n v="1"/>
    <n v="151700000"/>
    <n v="478250000"/>
    <n v="59910000"/>
    <n v="1121"/>
    <n v="4.1399999999999999E-2"/>
    <b v="1"/>
    <n v="2012"/>
    <x v="1"/>
    <s v="Private"/>
    <n v="3.15"/>
    <n v="53443"/>
    <n v="13"/>
  </r>
  <r>
    <s v="Startup_443"/>
    <x v="4"/>
    <n v="5"/>
    <n v="163220000"/>
    <n v="2433440000"/>
    <n v="50270000"/>
    <n v="2572"/>
    <n v="8.8700000000000001E-2"/>
    <b v="1"/>
    <n v="2012"/>
    <x v="4"/>
    <s v="IPO"/>
    <n v="14.91"/>
    <n v="19545"/>
    <n v="13"/>
  </r>
  <r>
    <s v="Startup_444"/>
    <x v="3"/>
    <n v="5"/>
    <n v="154440000"/>
    <n v="1707710000"/>
    <n v="13970000"/>
    <n v="3504"/>
    <n v="2.3E-2"/>
    <b v="0"/>
    <n v="2017"/>
    <x v="3"/>
    <s v="Private"/>
    <n v="11.06"/>
    <n v="3987"/>
    <n v="8"/>
  </r>
  <r>
    <s v="Startup_445"/>
    <x v="3"/>
    <n v="3"/>
    <n v="176620000"/>
    <n v="1201560000"/>
    <n v="11660000"/>
    <n v="497"/>
    <n v="7.17E-2"/>
    <b v="0"/>
    <n v="2015"/>
    <x v="4"/>
    <s v="Acquired"/>
    <n v="6.8"/>
    <n v="23461"/>
    <n v="10"/>
  </r>
  <r>
    <s v="Startup_446"/>
    <x v="0"/>
    <n v="2"/>
    <n v="9300000"/>
    <n v="126030000"/>
    <n v="15520000"/>
    <n v="3311"/>
    <n v="8.8300000000000003E-2"/>
    <b v="0"/>
    <n v="2014"/>
    <x v="2"/>
    <s v="Private"/>
    <n v="13.55"/>
    <n v="4687"/>
    <n v="11"/>
  </r>
  <r>
    <s v="Startup_447"/>
    <x v="3"/>
    <n v="1"/>
    <n v="118960000"/>
    <n v="725800000"/>
    <n v="17270000"/>
    <n v="624"/>
    <n v="7.3400000000000007E-2"/>
    <b v="0"/>
    <n v="2018"/>
    <x v="4"/>
    <s v="Private"/>
    <n v="6.1"/>
    <n v="27676"/>
    <n v="7"/>
  </r>
  <r>
    <s v="Startup_448"/>
    <x v="4"/>
    <n v="3"/>
    <n v="182050000"/>
    <n v="1734610000"/>
    <n v="63820000"/>
    <n v="3237"/>
    <n v="7.0000000000000007E-2"/>
    <b v="0"/>
    <n v="2008"/>
    <x v="2"/>
    <s v="Acquired"/>
    <n v="9.5299999999999994"/>
    <n v="19716"/>
    <n v="17"/>
  </r>
  <r>
    <s v="Startup_449"/>
    <x v="2"/>
    <n v="2"/>
    <n v="179520000"/>
    <n v="1908810000"/>
    <n v="74120000"/>
    <n v="3828"/>
    <n v="7.5499999999999998E-2"/>
    <b v="0"/>
    <n v="2022"/>
    <x v="3"/>
    <s v="Private"/>
    <n v="10.63"/>
    <n v="19363"/>
    <n v="3"/>
  </r>
  <r>
    <s v="Startup_45"/>
    <x v="7"/>
    <n v="5"/>
    <n v="148540000"/>
    <n v="1926640000"/>
    <n v="6350000"/>
    <n v="1382"/>
    <n v="4.36E-2"/>
    <b v="0"/>
    <n v="2017"/>
    <x v="2"/>
    <s v="Private"/>
    <n v="12.97"/>
    <n v="4595"/>
    <n v="8"/>
  </r>
  <r>
    <s v="Startup_450"/>
    <x v="3"/>
    <n v="2"/>
    <n v="237990000"/>
    <n v="1345300000"/>
    <n v="53050000"/>
    <n v="2385"/>
    <n v="4.7E-2"/>
    <b v="0"/>
    <n v="2003"/>
    <x v="3"/>
    <s v="IPO"/>
    <n v="5.65"/>
    <n v="22243"/>
    <n v="22"/>
  </r>
  <r>
    <s v="Startup_451"/>
    <x v="6"/>
    <n v="4"/>
    <n v="196680000"/>
    <n v="2899210000"/>
    <n v="82920000"/>
    <n v="1551"/>
    <n v="8.7499999999999994E-2"/>
    <b v="0"/>
    <n v="2003"/>
    <x v="1"/>
    <s v="Acquired"/>
    <n v="14.74"/>
    <n v="53462"/>
    <n v="22"/>
  </r>
  <r>
    <s v="Startup_452"/>
    <x v="5"/>
    <n v="1"/>
    <n v="297640000"/>
    <n v="3565220000"/>
    <n v="99130000"/>
    <n v="4963"/>
    <n v="2.1100000000000001E-2"/>
    <b v="1"/>
    <n v="2019"/>
    <x v="2"/>
    <s v="IPO"/>
    <n v="11.98"/>
    <n v="19974"/>
    <n v="6"/>
  </r>
  <r>
    <s v="Startup_453"/>
    <x v="3"/>
    <n v="2"/>
    <n v="85510000"/>
    <n v="828910000"/>
    <n v="82020000"/>
    <n v="3568"/>
    <n v="1.3599999999999999E-2"/>
    <b v="0"/>
    <n v="2017"/>
    <x v="2"/>
    <s v="Private"/>
    <n v="9.69"/>
    <n v="22988"/>
    <n v="8"/>
  </r>
  <r>
    <s v="Startup_454"/>
    <x v="5"/>
    <n v="3"/>
    <n v="108070000"/>
    <n v="558410000"/>
    <n v="69520000"/>
    <n v="1610"/>
    <n v="2.93E-2"/>
    <b v="1"/>
    <n v="2006"/>
    <x v="0"/>
    <s v="Private"/>
    <n v="5.17"/>
    <n v="43180"/>
    <n v="19"/>
  </r>
  <r>
    <s v="Startup_455"/>
    <x v="6"/>
    <n v="4"/>
    <n v="115460000"/>
    <n v="421000000"/>
    <n v="53300000"/>
    <n v="3757"/>
    <n v="5.3600000000000002E-2"/>
    <b v="0"/>
    <n v="1992"/>
    <x v="0"/>
    <s v="Private"/>
    <n v="3.65"/>
    <n v="14187"/>
    <n v="33"/>
  </r>
  <r>
    <s v="Startup_456"/>
    <x v="6"/>
    <n v="1"/>
    <n v="140010000"/>
    <n v="957770000"/>
    <n v="44940000"/>
    <n v="4680"/>
    <n v="5.1499999999999997E-2"/>
    <b v="0"/>
    <n v="2005"/>
    <x v="0"/>
    <s v="Acquired"/>
    <n v="6.84"/>
    <n v="9603"/>
    <n v="20"/>
  </r>
  <r>
    <s v="Startup_457"/>
    <x v="5"/>
    <n v="5"/>
    <n v="250880000"/>
    <n v="3020160000"/>
    <n v="8530000"/>
    <n v="1895"/>
    <n v="8.2199999999999995E-2"/>
    <b v="1"/>
    <n v="2019"/>
    <x v="4"/>
    <s v="Acquired"/>
    <n v="12.04"/>
    <n v="4501"/>
    <n v="6"/>
  </r>
  <r>
    <s v="Startup_458"/>
    <x v="7"/>
    <n v="3"/>
    <n v="71120000"/>
    <n v="443220000"/>
    <n v="40000000"/>
    <n v="1280"/>
    <n v="4.1099999999999998E-2"/>
    <b v="0"/>
    <n v="2018"/>
    <x v="0"/>
    <s v="Private"/>
    <n v="6.23"/>
    <n v="31250"/>
    <n v="7"/>
  </r>
  <r>
    <s v="Startup_459"/>
    <x v="1"/>
    <n v="2"/>
    <n v="232910000"/>
    <n v="2206750000"/>
    <n v="91020000"/>
    <n v="2748"/>
    <n v="4.9000000000000002E-2"/>
    <b v="0"/>
    <n v="2004"/>
    <x v="2"/>
    <s v="Private"/>
    <n v="9.4700000000000006"/>
    <n v="33122"/>
    <n v="21"/>
  </r>
  <r>
    <s v="Startup_46"/>
    <x v="4"/>
    <n v="5"/>
    <n v="172200000"/>
    <n v="2303230000"/>
    <n v="80160000"/>
    <n v="1444"/>
    <n v="9.0499999999999997E-2"/>
    <b v="1"/>
    <n v="2005"/>
    <x v="4"/>
    <s v="Private"/>
    <n v="13.38"/>
    <n v="55512"/>
    <n v="20"/>
  </r>
  <r>
    <s v="Startup_460"/>
    <x v="0"/>
    <n v="2"/>
    <n v="121890000"/>
    <n v="1430420000"/>
    <n v="80820000"/>
    <n v="2498"/>
    <n v="2.3E-3"/>
    <b v="1"/>
    <n v="2014"/>
    <x v="4"/>
    <s v="Private"/>
    <n v="11.74"/>
    <n v="32354"/>
    <n v="11"/>
  </r>
  <r>
    <s v="Startup_461"/>
    <x v="7"/>
    <n v="3"/>
    <n v="180760000"/>
    <n v="776420000"/>
    <n v="21680000"/>
    <n v="361"/>
    <n v="4.1599999999999998E-2"/>
    <b v="0"/>
    <n v="2012"/>
    <x v="3"/>
    <s v="Acquired"/>
    <n v="4.3"/>
    <n v="60055"/>
    <n v="13"/>
  </r>
  <r>
    <s v="Startup_462"/>
    <x v="7"/>
    <n v="2"/>
    <n v="189950000"/>
    <n v="2131920000"/>
    <n v="46710000"/>
    <n v="874"/>
    <n v="6.5100000000000005E-2"/>
    <b v="0"/>
    <n v="2014"/>
    <x v="1"/>
    <s v="Private"/>
    <n v="11.22"/>
    <n v="53444"/>
    <n v="11"/>
  </r>
  <r>
    <s v="Startup_463"/>
    <x v="2"/>
    <n v="4"/>
    <n v="112170000"/>
    <n v="460170000"/>
    <n v="81690000"/>
    <n v="890"/>
    <n v="2.5000000000000001E-3"/>
    <b v="0"/>
    <n v="1996"/>
    <x v="0"/>
    <s v="Private"/>
    <n v="4.0999999999999996"/>
    <n v="91787"/>
    <n v="29"/>
  </r>
  <r>
    <s v="Startup_464"/>
    <x v="0"/>
    <n v="1"/>
    <n v="154030000"/>
    <n v="2246000000"/>
    <n v="6830000"/>
    <n v="2006"/>
    <n v="2.8799999999999999E-2"/>
    <b v="0"/>
    <n v="2011"/>
    <x v="3"/>
    <s v="Private"/>
    <n v="14.58"/>
    <n v="3405"/>
    <n v="14"/>
  </r>
  <r>
    <s v="Startup_465"/>
    <x v="0"/>
    <n v="4"/>
    <n v="124200000"/>
    <n v="1100500000"/>
    <n v="38800000"/>
    <n v="1288"/>
    <n v="2.1600000000000001E-2"/>
    <b v="0"/>
    <n v="2006"/>
    <x v="2"/>
    <s v="Private"/>
    <n v="8.86"/>
    <n v="30124"/>
    <n v="19"/>
  </r>
  <r>
    <s v="Startup_466"/>
    <x v="7"/>
    <n v="2"/>
    <n v="21210000"/>
    <n v="101980000"/>
    <n v="85200000"/>
    <n v="624"/>
    <n v="5.1999999999999998E-3"/>
    <b v="0"/>
    <n v="2007"/>
    <x v="1"/>
    <s v="Acquired"/>
    <n v="4.8099999999999996"/>
    <n v="136538"/>
    <n v="18"/>
  </r>
  <r>
    <s v="Startup_467"/>
    <x v="3"/>
    <n v="5"/>
    <n v="131430000"/>
    <n v="934280000"/>
    <n v="40450000"/>
    <n v="887"/>
    <n v="4.8399999999999999E-2"/>
    <b v="1"/>
    <n v="1999"/>
    <x v="3"/>
    <s v="Private"/>
    <n v="7.11"/>
    <n v="45603"/>
    <n v="26"/>
  </r>
  <r>
    <s v="Startup_468"/>
    <x v="2"/>
    <n v="1"/>
    <n v="29670000"/>
    <n v="236200000"/>
    <n v="7850000"/>
    <n v="801"/>
    <n v="1.9E-2"/>
    <b v="1"/>
    <n v="1999"/>
    <x v="1"/>
    <s v="Private"/>
    <n v="7.96"/>
    <n v="9800"/>
    <n v="26"/>
  </r>
  <r>
    <s v="Startup_469"/>
    <x v="2"/>
    <n v="1"/>
    <n v="121800000"/>
    <n v="1473560000"/>
    <n v="54300000"/>
    <n v="3647"/>
    <n v="7.46E-2"/>
    <b v="1"/>
    <n v="1996"/>
    <x v="0"/>
    <s v="Private"/>
    <n v="12.1"/>
    <n v="14889"/>
    <n v="29"/>
  </r>
  <r>
    <s v="Startup_47"/>
    <x v="3"/>
    <n v="5"/>
    <n v="251510000"/>
    <n v="3074010000"/>
    <n v="76680000"/>
    <n v="3185"/>
    <n v="8.4699999999999998E-2"/>
    <b v="1"/>
    <n v="1993"/>
    <x v="0"/>
    <s v="IPO"/>
    <n v="12.22"/>
    <n v="24075"/>
    <n v="32"/>
  </r>
  <r>
    <s v="Startup_470"/>
    <x v="6"/>
    <n v="3"/>
    <n v="178080000"/>
    <n v="2122910000"/>
    <n v="86190000"/>
    <n v="3430"/>
    <n v="8.4900000000000003E-2"/>
    <b v="1"/>
    <n v="2016"/>
    <x v="2"/>
    <s v="Private"/>
    <n v="11.92"/>
    <n v="25128"/>
    <n v="9"/>
  </r>
  <r>
    <s v="Startup_471"/>
    <x v="4"/>
    <n v="3"/>
    <n v="174030000"/>
    <n v="1800040000"/>
    <n v="59070000"/>
    <n v="1301"/>
    <n v="5.5E-2"/>
    <b v="1"/>
    <n v="2022"/>
    <x v="1"/>
    <s v="Private"/>
    <n v="10.34"/>
    <n v="45404"/>
    <n v="3"/>
  </r>
  <r>
    <s v="Startup_472"/>
    <x v="0"/>
    <n v="5"/>
    <n v="198960000"/>
    <n v="849790000"/>
    <n v="22710000"/>
    <n v="4719"/>
    <n v="9.8199999999999996E-2"/>
    <b v="0"/>
    <n v="1990"/>
    <x v="3"/>
    <s v="Private"/>
    <n v="4.2699999999999996"/>
    <n v="4812"/>
    <n v="35"/>
  </r>
  <r>
    <s v="Startup_473"/>
    <x v="7"/>
    <n v="1"/>
    <n v="29030000"/>
    <n v="139890000"/>
    <n v="38490000"/>
    <n v="249"/>
    <n v="4.5600000000000002E-2"/>
    <b v="1"/>
    <n v="1993"/>
    <x v="0"/>
    <s v="IPO"/>
    <n v="4.82"/>
    <n v="154578"/>
    <n v="32"/>
  </r>
  <r>
    <s v="Startup_474"/>
    <x v="6"/>
    <n v="5"/>
    <n v="195810000"/>
    <n v="807730000"/>
    <n v="45070000"/>
    <n v="2900"/>
    <n v="5.1799999999999999E-2"/>
    <b v="1"/>
    <n v="2006"/>
    <x v="0"/>
    <s v="Private"/>
    <n v="4.13"/>
    <n v="15541"/>
    <n v="19"/>
  </r>
  <r>
    <s v="Startup_475"/>
    <x v="5"/>
    <n v="3"/>
    <n v="93990000"/>
    <n v="932950000"/>
    <n v="57970000"/>
    <n v="934"/>
    <n v="9.8900000000000002E-2"/>
    <b v="1"/>
    <n v="1993"/>
    <x v="3"/>
    <s v="Private"/>
    <n v="9.93"/>
    <n v="62066"/>
    <n v="32"/>
  </r>
  <r>
    <s v="Startup_476"/>
    <x v="1"/>
    <n v="3"/>
    <n v="120010000"/>
    <n v="1623210000"/>
    <n v="75960000"/>
    <n v="524"/>
    <n v="2.3900000000000001E-2"/>
    <b v="0"/>
    <n v="2015"/>
    <x v="3"/>
    <s v="Private"/>
    <n v="13.53"/>
    <n v="144962"/>
    <n v="10"/>
  </r>
  <r>
    <s v="Startup_477"/>
    <x v="4"/>
    <n v="1"/>
    <n v="257470000"/>
    <n v="2112700000"/>
    <n v="9980000"/>
    <n v="3217"/>
    <n v="9.4299999999999995E-2"/>
    <b v="0"/>
    <n v="1993"/>
    <x v="1"/>
    <s v="Private"/>
    <n v="8.2100000000000009"/>
    <n v="3102"/>
    <n v="32"/>
  </r>
  <r>
    <s v="Startup_478"/>
    <x v="4"/>
    <n v="4"/>
    <n v="3200000"/>
    <n v="15780000"/>
    <n v="88980000"/>
    <n v="2414"/>
    <n v="5.1999999999999998E-3"/>
    <b v="0"/>
    <n v="1990"/>
    <x v="4"/>
    <s v="IPO"/>
    <n v="4.93"/>
    <n v="36860"/>
    <n v="35"/>
  </r>
  <r>
    <s v="Startup_479"/>
    <x v="4"/>
    <n v="2"/>
    <n v="176730000"/>
    <n v="1713660000"/>
    <n v="1330000"/>
    <n v="12"/>
    <n v="4.5199999999999997E-2"/>
    <b v="1"/>
    <n v="1996"/>
    <x v="0"/>
    <s v="Private"/>
    <n v="9.6999999999999993"/>
    <n v="110833"/>
    <n v="29"/>
  </r>
  <r>
    <s v="Startup_48"/>
    <x v="5"/>
    <n v="5"/>
    <n v="121610000"/>
    <n v="529890000"/>
    <n v="73390000"/>
    <n v="4862"/>
    <n v="4.07E-2"/>
    <b v="0"/>
    <n v="2015"/>
    <x v="4"/>
    <s v="Private"/>
    <n v="4.3600000000000003"/>
    <n v="15095"/>
    <n v="10"/>
  </r>
  <r>
    <s v="Startup_480"/>
    <x v="2"/>
    <n v="3"/>
    <n v="179810000"/>
    <n v="2290960000"/>
    <n v="37070000"/>
    <n v="2530"/>
    <n v="7.9000000000000008E-3"/>
    <b v="0"/>
    <n v="2019"/>
    <x v="1"/>
    <s v="Private"/>
    <n v="12.74"/>
    <n v="14652"/>
    <n v="6"/>
  </r>
  <r>
    <s v="Startup_481"/>
    <x v="5"/>
    <n v="3"/>
    <n v="119300000"/>
    <n v="1419730000"/>
    <n v="2840000"/>
    <n v="3428"/>
    <n v="7.3200000000000001E-2"/>
    <b v="1"/>
    <n v="1998"/>
    <x v="3"/>
    <s v="Acquired"/>
    <n v="11.9"/>
    <n v="828"/>
    <n v="27"/>
  </r>
  <r>
    <s v="Startup_482"/>
    <x v="4"/>
    <n v="4"/>
    <n v="71490000"/>
    <n v="970650000"/>
    <n v="39360000"/>
    <n v="2024"/>
    <n v="6.1199999999999997E-2"/>
    <b v="0"/>
    <n v="1997"/>
    <x v="1"/>
    <s v="Private"/>
    <n v="13.58"/>
    <n v="19447"/>
    <n v="28"/>
  </r>
  <r>
    <s v="Startup_483"/>
    <x v="5"/>
    <n v="4"/>
    <n v="70780000"/>
    <n v="448380000"/>
    <n v="52630000"/>
    <n v="4595"/>
    <n v="7.0999999999999994E-2"/>
    <b v="0"/>
    <n v="2013"/>
    <x v="3"/>
    <s v="IPO"/>
    <n v="6.33"/>
    <n v="11454"/>
    <n v="12"/>
  </r>
  <r>
    <s v="Startup_484"/>
    <x v="3"/>
    <n v="5"/>
    <n v="265170000"/>
    <n v="1412680000"/>
    <n v="51220000"/>
    <n v="4287"/>
    <n v="3.8100000000000002E-2"/>
    <b v="0"/>
    <n v="2008"/>
    <x v="2"/>
    <s v="Private"/>
    <n v="5.33"/>
    <n v="11948"/>
    <n v="17"/>
  </r>
  <r>
    <s v="Startup_485"/>
    <x v="4"/>
    <n v="5"/>
    <n v="132890000"/>
    <n v="1801700000"/>
    <n v="16650000"/>
    <n v="3672"/>
    <n v="3.7600000000000001E-2"/>
    <b v="0"/>
    <n v="2016"/>
    <x v="3"/>
    <s v="Private"/>
    <n v="13.56"/>
    <n v="4534"/>
    <n v="9"/>
  </r>
  <r>
    <s v="Startup_486"/>
    <x v="1"/>
    <n v="2"/>
    <n v="99600000"/>
    <n v="1084720000"/>
    <n v="64610000"/>
    <n v="3676"/>
    <n v="5.4999999999999997E-3"/>
    <b v="0"/>
    <n v="2021"/>
    <x v="3"/>
    <s v="Private"/>
    <n v="10.89"/>
    <n v="17576"/>
    <n v="4"/>
  </r>
  <r>
    <s v="Startup_487"/>
    <x v="5"/>
    <n v="2"/>
    <n v="134910000"/>
    <n v="908100000"/>
    <n v="4570000"/>
    <n v="2806"/>
    <n v="3.56E-2"/>
    <b v="0"/>
    <n v="2003"/>
    <x v="3"/>
    <s v="Private"/>
    <n v="6.73"/>
    <n v="1629"/>
    <n v="22"/>
  </r>
  <r>
    <s v="Startup_488"/>
    <x v="5"/>
    <n v="1"/>
    <n v="200980000"/>
    <n v="2393310000"/>
    <n v="76210000"/>
    <n v="90"/>
    <n v="9.2999999999999999E-2"/>
    <b v="1"/>
    <n v="2007"/>
    <x v="4"/>
    <s v="Private"/>
    <n v="11.91"/>
    <n v="846778"/>
    <n v="18"/>
  </r>
  <r>
    <s v="Startup_489"/>
    <x v="1"/>
    <n v="5"/>
    <n v="44150000"/>
    <n v="564300000"/>
    <n v="94670000"/>
    <n v="3120"/>
    <n v="3.85E-2"/>
    <b v="0"/>
    <n v="2017"/>
    <x v="3"/>
    <s v="Private"/>
    <n v="12.78"/>
    <n v="30343"/>
    <n v="8"/>
  </r>
  <r>
    <s v="Startup_49"/>
    <x v="1"/>
    <n v="2"/>
    <n v="231390000"/>
    <n v="2903050000"/>
    <n v="30010000"/>
    <n v="345"/>
    <n v="7.6499999999999999E-2"/>
    <b v="1"/>
    <n v="2017"/>
    <x v="2"/>
    <s v="Private"/>
    <n v="12.55"/>
    <n v="86986"/>
    <n v="8"/>
  </r>
  <r>
    <s v="Startup_490"/>
    <x v="4"/>
    <n v="3"/>
    <n v="135110000"/>
    <n v="1402410000"/>
    <n v="34040000"/>
    <n v="4237"/>
    <n v="8.3299999999999999E-2"/>
    <b v="0"/>
    <n v="2018"/>
    <x v="0"/>
    <s v="Private"/>
    <n v="10.38"/>
    <n v="8034"/>
    <n v="7"/>
  </r>
  <r>
    <s v="Startup_491"/>
    <x v="1"/>
    <n v="5"/>
    <n v="176570000"/>
    <n v="1987230000"/>
    <n v="51770000"/>
    <n v="2473"/>
    <n v="8.4400000000000003E-2"/>
    <b v="1"/>
    <n v="2005"/>
    <x v="0"/>
    <s v="Private"/>
    <n v="11.25"/>
    <n v="20934"/>
    <n v="20"/>
  </r>
  <r>
    <s v="Startup_492"/>
    <x v="5"/>
    <n v="3"/>
    <n v="284600000"/>
    <n v="2135390000"/>
    <n v="37950000"/>
    <n v="3624"/>
    <n v="3.7999999999999999E-2"/>
    <b v="1"/>
    <n v="2020"/>
    <x v="1"/>
    <s v="Private"/>
    <n v="7.5"/>
    <n v="10472"/>
    <n v="5"/>
  </r>
  <r>
    <s v="Startup_493"/>
    <x v="1"/>
    <n v="4"/>
    <n v="76130000"/>
    <n v="720520000"/>
    <n v="770000"/>
    <n v="1641"/>
    <n v="6.3600000000000004E-2"/>
    <b v="1"/>
    <n v="1993"/>
    <x v="4"/>
    <s v="Acquired"/>
    <n v="9.4600000000000009"/>
    <n v="469"/>
    <n v="32"/>
  </r>
  <r>
    <s v="Startup_494"/>
    <x v="5"/>
    <n v="5"/>
    <n v="108100000"/>
    <n v="1004240000"/>
    <n v="38650000"/>
    <n v="3588"/>
    <n v="1.04E-2"/>
    <b v="0"/>
    <n v="2006"/>
    <x v="1"/>
    <s v="Private"/>
    <n v="9.2899999999999991"/>
    <n v="10772"/>
    <n v="19"/>
  </r>
  <r>
    <s v="Startup_495"/>
    <x v="5"/>
    <n v="4"/>
    <n v="114120000"/>
    <n v="1503710000"/>
    <n v="79190000"/>
    <n v="4014"/>
    <n v="1.1299999999999999E-2"/>
    <b v="1"/>
    <n v="2015"/>
    <x v="0"/>
    <s v="IPO"/>
    <n v="13.18"/>
    <n v="19728"/>
    <n v="10"/>
  </r>
  <r>
    <s v="Startup_496"/>
    <x v="3"/>
    <n v="2"/>
    <n v="181860000"/>
    <n v="2378650000"/>
    <n v="59640000"/>
    <n v="3331"/>
    <n v="5.7999999999999996E-3"/>
    <b v="1"/>
    <n v="1993"/>
    <x v="0"/>
    <s v="Private"/>
    <n v="13.08"/>
    <n v="17905"/>
    <n v="32"/>
  </r>
  <r>
    <s v="Startup_497"/>
    <x v="7"/>
    <n v="2"/>
    <n v="107340000"/>
    <n v="1394580000"/>
    <n v="10220000"/>
    <n v="2223"/>
    <n v="5.8500000000000003E-2"/>
    <b v="0"/>
    <n v="2019"/>
    <x v="2"/>
    <s v="Private"/>
    <n v="12.99"/>
    <n v="4597"/>
    <n v="6"/>
  </r>
  <r>
    <s v="Startup_498"/>
    <x v="5"/>
    <n v="1"/>
    <n v="160290000"/>
    <n v="502090000"/>
    <n v="84730000"/>
    <n v="2222"/>
    <n v="4.3200000000000002E-2"/>
    <b v="0"/>
    <n v="2019"/>
    <x v="3"/>
    <s v="Private"/>
    <n v="3.13"/>
    <n v="38132"/>
    <n v="6"/>
  </r>
  <r>
    <s v="Startup_499"/>
    <x v="4"/>
    <n v="5"/>
    <n v="234650000"/>
    <n v="2814520000"/>
    <n v="53160000"/>
    <n v="4972"/>
    <n v="5.5300000000000002E-2"/>
    <b v="0"/>
    <n v="2011"/>
    <x v="0"/>
    <s v="Private"/>
    <n v="11.99"/>
    <n v="10692"/>
    <n v="14"/>
  </r>
  <r>
    <s v="Startup_5"/>
    <x v="0"/>
    <n v="4"/>
    <n v="249280000"/>
    <n v="850110000"/>
    <n v="50250000"/>
    <n v="1905"/>
    <n v="4.0899999999999999E-2"/>
    <b v="0"/>
    <n v="1997"/>
    <x v="0"/>
    <s v="Acquired"/>
    <n v="3.41"/>
    <n v="26378"/>
    <n v="28"/>
  </r>
  <r>
    <s v="Startup_50"/>
    <x v="0"/>
    <n v="2"/>
    <n v="126900000"/>
    <n v="1779660000"/>
    <n v="17430000"/>
    <n v="2994"/>
    <n v="8.2500000000000004E-2"/>
    <b v="1"/>
    <n v="2021"/>
    <x v="4"/>
    <s v="Private"/>
    <n v="14.02"/>
    <n v="5822"/>
    <n v="4"/>
  </r>
  <r>
    <s v="Startup_500"/>
    <x v="6"/>
    <n v="4"/>
    <n v="211760000"/>
    <n v="2563170000"/>
    <n v="84190000"/>
    <n v="2374"/>
    <n v="5.2600000000000001E-2"/>
    <b v="0"/>
    <n v="2000"/>
    <x v="1"/>
    <s v="Private"/>
    <n v="12.1"/>
    <n v="35463"/>
    <n v="25"/>
  </r>
  <r>
    <s v="Startup_51"/>
    <x v="7"/>
    <n v="3"/>
    <n v="106480000"/>
    <n v="1086870000"/>
    <n v="63790000"/>
    <n v="387"/>
    <n v="8.8999999999999996E-2"/>
    <b v="0"/>
    <n v="1991"/>
    <x v="0"/>
    <s v="Acquired"/>
    <n v="10.210000000000001"/>
    <n v="164832"/>
    <n v="34"/>
  </r>
  <r>
    <s v="Startup_52"/>
    <x v="5"/>
    <n v="1"/>
    <n v="287610000"/>
    <n v="4110090000"/>
    <n v="49670000"/>
    <n v="1561"/>
    <n v="5.4899999999999997E-2"/>
    <b v="1"/>
    <n v="2020"/>
    <x v="2"/>
    <s v="Private"/>
    <n v="14.29"/>
    <n v="31819"/>
    <n v="5"/>
  </r>
  <r>
    <s v="Startup_53"/>
    <x v="3"/>
    <n v="5"/>
    <n v="55720000"/>
    <n v="720020000"/>
    <n v="17910000"/>
    <n v="304"/>
    <n v="2.12E-2"/>
    <b v="1"/>
    <n v="1992"/>
    <x v="1"/>
    <s v="Private"/>
    <n v="12.92"/>
    <n v="58914"/>
    <n v="33"/>
  </r>
  <r>
    <s v="Startup_54"/>
    <x v="5"/>
    <n v="1"/>
    <n v="27560000"/>
    <n v="303260000"/>
    <n v="68620000"/>
    <n v="143"/>
    <n v="2.63E-2"/>
    <b v="1"/>
    <n v="1997"/>
    <x v="0"/>
    <s v="Acquired"/>
    <n v="11"/>
    <n v="479860"/>
    <n v="28"/>
  </r>
  <r>
    <s v="Startup_55"/>
    <x v="7"/>
    <n v="1"/>
    <n v="231410000"/>
    <n v="2297030000"/>
    <n v="99110000"/>
    <n v="363"/>
    <n v="3.0300000000000001E-2"/>
    <b v="1"/>
    <n v="2013"/>
    <x v="3"/>
    <s v="Private"/>
    <n v="9.93"/>
    <n v="273030"/>
    <n v="12"/>
  </r>
  <r>
    <s v="Startup_56"/>
    <x v="4"/>
    <n v="3"/>
    <n v="20940000"/>
    <n v="150410000"/>
    <n v="74750000"/>
    <n v="4936"/>
    <n v="5.9799999999999999E-2"/>
    <b v="0"/>
    <n v="2004"/>
    <x v="0"/>
    <s v="IPO"/>
    <n v="7.18"/>
    <n v="15144"/>
    <n v="21"/>
  </r>
  <r>
    <s v="Startup_57"/>
    <x v="4"/>
    <n v="5"/>
    <n v="251210000"/>
    <n v="1233810000"/>
    <n v="74020000"/>
    <n v="1527"/>
    <n v="4.1999999999999997E-3"/>
    <b v="0"/>
    <n v="2020"/>
    <x v="2"/>
    <s v="Private"/>
    <n v="4.91"/>
    <n v="48474"/>
    <n v="5"/>
  </r>
  <r>
    <s v="Startup_58"/>
    <x v="2"/>
    <n v="5"/>
    <n v="131440000"/>
    <n v="1348500000"/>
    <n v="95040000"/>
    <n v="3461"/>
    <n v="6.4000000000000001E-2"/>
    <b v="0"/>
    <n v="1998"/>
    <x v="0"/>
    <s v="Private"/>
    <n v="10.26"/>
    <n v="27460"/>
    <n v="27"/>
  </r>
  <r>
    <s v="Startup_59"/>
    <x v="4"/>
    <n v="4"/>
    <n v="274700000"/>
    <n v="1872720000"/>
    <n v="20370000"/>
    <n v="1632"/>
    <n v="3.7100000000000001E-2"/>
    <b v="0"/>
    <n v="1991"/>
    <x v="1"/>
    <s v="Private"/>
    <n v="6.82"/>
    <n v="12482"/>
    <n v="34"/>
  </r>
  <r>
    <s v="Startup_6"/>
    <x v="7"/>
    <n v="5"/>
    <n v="103890000"/>
    <n v="1541760000"/>
    <n v="12560000"/>
    <n v="1462"/>
    <n v="8.9599999999999999E-2"/>
    <b v="1"/>
    <n v="2004"/>
    <x v="0"/>
    <s v="IPO"/>
    <n v="14.84"/>
    <n v="8591"/>
    <n v="21"/>
  </r>
  <r>
    <s v="Startup_60"/>
    <x v="2"/>
    <n v="1"/>
    <n v="216600000"/>
    <n v="2901850000"/>
    <n v="56600000"/>
    <n v="1308"/>
    <n v="3.0200000000000001E-2"/>
    <b v="0"/>
    <n v="1997"/>
    <x v="1"/>
    <s v="Acquired"/>
    <n v="13.4"/>
    <n v="43272"/>
    <n v="28"/>
  </r>
  <r>
    <s v="Startup_61"/>
    <x v="5"/>
    <n v="1"/>
    <n v="183320000"/>
    <n v="2735140000"/>
    <n v="97970000"/>
    <n v="1139"/>
    <n v="8.8099999999999998E-2"/>
    <b v="1"/>
    <n v="1996"/>
    <x v="3"/>
    <s v="Private"/>
    <n v="14.92"/>
    <n v="86014"/>
    <n v="29"/>
  </r>
  <r>
    <s v="Startup_62"/>
    <x v="6"/>
    <n v="2"/>
    <n v="284820000"/>
    <n v="3426140000"/>
    <n v="16610000"/>
    <n v="2191"/>
    <n v="4.65E-2"/>
    <b v="1"/>
    <n v="2005"/>
    <x v="4"/>
    <s v="IPO"/>
    <n v="12.03"/>
    <n v="7581"/>
    <n v="20"/>
  </r>
  <r>
    <s v="Startup_63"/>
    <x v="0"/>
    <n v="4"/>
    <n v="119300000"/>
    <n v="487430000"/>
    <n v="70060000"/>
    <n v="3175"/>
    <n v="1.04E-2"/>
    <b v="1"/>
    <n v="2019"/>
    <x v="2"/>
    <s v="IPO"/>
    <n v="4.09"/>
    <n v="22066"/>
    <n v="6"/>
  </r>
  <r>
    <s v="Startup_64"/>
    <x v="0"/>
    <n v="2"/>
    <n v="286250000"/>
    <n v="1850390000"/>
    <n v="58620000"/>
    <n v="3840"/>
    <n v="8.2799999999999999E-2"/>
    <b v="1"/>
    <n v="1999"/>
    <x v="2"/>
    <s v="Acquired"/>
    <n v="6.46"/>
    <n v="15266"/>
    <n v="26"/>
  </r>
  <r>
    <s v="Startup_65"/>
    <x v="5"/>
    <n v="2"/>
    <n v="40930000"/>
    <n v="176380000"/>
    <n v="58690000"/>
    <n v="2156"/>
    <n v="5.7000000000000002E-3"/>
    <b v="1"/>
    <n v="2007"/>
    <x v="4"/>
    <s v="Acquired"/>
    <n v="4.3099999999999996"/>
    <n v="27222"/>
    <n v="18"/>
  </r>
  <r>
    <s v="Startup_66"/>
    <x v="1"/>
    <n v="2"/>
    <n v="145380000"/>
    <n v="1571000000"/>
    <n v="69800000"/>
    <n v="1242"/>
    <n v="7.2900000000000006E-2"/>
    <b v="0"/>
    <n v="1994"/>
    <x v="1"/>
    <s v="Private"/>
    <n v="10.81"/>
    <n v="56200"/>
    <n v="31"/>
  </r>
  <r>
    <s v="Startup_67"/>
    <x v="1"/>
    <n v="3"/>
    <n v="81340000"/>
    <n v="990910000"/>
    <n v="92970000"/>
    <n v="3740"/>
    <n v="7.7600000000000002E-2"/>
    <b v="0"/>
    <n v="2018"/>
    <x v="1"/>
    <s v="IPO"/>
    <n v="12.18"/>
    <n v="24858"/>
    <n v="7"/>
  </r>
  <r>
    <s v="Startup_68"/>
    <x v="4"/>
    <n v="3"/>
    <n v="162180000"/>
    <n v="2288050000"/>
    <n v="78280000"/>
    <n v="2839"/>
    <n v="3.5900000000000001E-2"/>
    <b v="0"/>
    <n v="2012"/>
    <x v="0"/>
    <s v="Private"/>
    <n v="14.11"/>
    <n v="27573"/>
    <n v="13"/>
  </r>
  <r>
    <s v="Startup_69"/>
    <x v="0"/>
    <n v="2"/>
    <n v="49020000"/>
    <n v="404810000"/>
    <n v="5710000"/>
    <n v="4265"/>
    <n v="8.2699999999999996E-2"/>
    <b v="1"/>
    <n v="1994"/>
    <x v="3"/>
    <s v="Private"/>
    <n v="8.26"/>
    <n v="1339"/>
    <n v="31"/>
  </r>
  <r>
    <s v="Startup_7"/>
    <x v="4"/>
    <n v="4"/>
    <n v="232260000"/>
    <n v="1039510000"/>
    <n v="38600000"/>
    <n v="1404"/>
    <n v="1E-3"/>
    <b v="0"/>
    <n v="2016"/>
    <x v="3"/>
    <s v="Private"/>
    <n v="4.4800000000000004"/>
    <n v="27493"/>
    <n v="9"/>
  </r>
  <r>
    <s v="Startup_70"/>
    <x v="0"/>
    <n v="4"/>
    <n v="252540000"/>
    <n v="3489220000"/>
    <n v="85290000"/>
    <n v="1003"/>
    <n v="5.21E-2"/>
    <b v="0"/>
    <n v="2019"/>
    <x v="3"/>
    <s v="Private"/>
    <n v="13.82"/>
    <n v="85035"/>
    <n v="6"/>
  </r>
  <r>
    <s v="Startup_71"/>
    <x v="2"/>
    <n v="1"/>
    <n v="254000000"/>
    <n v="3437810000"/>
    <n v="22630000"/>
    <n v="2572"/>
    <n v="4.6899999999999997E-2"/>
    <b v="1"/>
    <n v="1995"/>
    <x v="3"/>
    <s v="Private"/>
    <n v="13.53"/>
    <n v="8799"/>
    <n v="30"/>
  </r>
  <r>
    <s v="Startup_72"/>
    <x v="6"/>
    <n v="4"/>
    <n v="286590000"/>
    <n v="1950630000"/>
    <n v="37750000"/>
    <n v="1312"/>
    <n v="5.4999999999999997E-3"/>
    <b v="0"/>
    <n v="1993"/>
    <x v="0"/>
    <s v="Private"/>
    <n v="6.81"/>
    <n v="28773"/>
    <n v="32"/>
  </r>
  <r>
    <s v="Startup_73"/>
    <x v="7"/>
    <n v="5"/>
    <n v="46820000"/>
    <n v="628640000"/>
    <n v="46230000"/>
    <n v="661"/>
    <n v="2.9700000000000001E-2"/>
    <b v="1"/>
    <n v="2018"/>
    <x v="3"/>
    <s v="Private"/>
    <n v="13.43"/>
    <n v="69939"/>
    <n v="7"/>
  </r>
  <r>
    <s v="Startup_74"/>
    <x v="1"/>
    <n v="3"/>
    <n v="187190000"/>
    <n v="1405440000"/>
    <n v="48140000"/>
    <n v="2665"/>
    <n v="9.3200000000000005E-2"/>
    <b v="1"/>
    <n v="2012"/>
    <x v="4"/>
    <s v="Acquired"/>
    <n v="7.51"/>
    <n v="18064"/>
    <n v="13"/>
  </r>
  <r>
    <s v="Startup_75"/>
    <x v="0"/>
    <n v="1"/>
    <n v="142530000"/>
    <n v="935340000"/>
    <n v="43570000"/>
    <n v="2216"/>
    <n v="3.9800000000000002E-2"/>
    <b v="1"/>
    <n v="1995"/>
    <x v="0"/>
    <s v="Private"/>
    <n v="6.56"/>
    <n v="19662"/>
    <n v="30"/>
  </r>
  <r>
    <s v="Startup_76"/>
    <x v="2"/>
    <n v="1"/>
    <n v="103640000"/>
    <n v="1118160000"/>
    <n v="93740000"/>
    <n v="1914"/>
    <n v="5.5100000000000003E-2"/>
    <b v="1"/>
    <n v="2021"/>
    <x v="4"/>
    <s v="Acquired"/>
    <n v="10.79"/>
    <n v="48976"/>
    <n v="4"/>
  </r>
  <r>
    <s v="Startup_77"/>
    <x v="3"/>
    <n v="5"/>
    <n v="105790000"/>
    <n v="734240000"/>
    <n v="70630000"/>
    <n v="3735"/>
    <n v="5.3699999999999998E-2"/>
    <b v="1"/>
    <n v="2007"/>
    <x v="0"/>
    <s v="IPO"/>
    <n v="6.94"/>
    <n v="18910"/>
    <n v="18"/>
  </r>
  <r>
    <s v="Startup_78"/>
    <x v="2"/>
    <n v="5"/>
    <n v="124130000"/>
    <n v="1311120000"/>
    <n v="63150000"/>
    <n v="2051"/>
    <n v="5.9499999999999997E-2"/>
    <b v="1"/>
    <n v="2004"/>
    <x v="3"/>
    <s v="IPO"/>
    <n v="10.56"/>
    <n v="30790"/>
    <n v="21"/>
  </r>
  <r>
    <s v="Startup_79"/>
    <x v="1"/>
    <n v="2"/>
    <n v="211630000"/>
    <n v="2183590000"/>
    <n v="5080000"/>
    <n v="3167"/>
    <n v="7.1000000000000004E-3"/>
    <b v="1"/>
    <n v="2021"/>
    <x v="4"/>
    <s v="Private"/>
    <n v="10.32"/>
    <n v="1604"/>
    <n v="4"/>
  </r>
  <r>
    <s v="Startup_8"/>
    <x v="6"/>
    <n v="5"/>
    <n v="109150000"/>
    <n v="630190000"/>
    <n v="64370000"/>
    <n v="3420"/>
    <n v="9.0200000000000002E-2"/>
    <b v="1"/>
    <n v="2002"/>
    <x v="3"/>
    <s v="IPO"/>
    <n v="5.77"/>
    <n v="18822"/>
    <n v="23"/>
  </r>
  <r>
    <s v="Startup_80"/>
    <x v="1"/>
    <n v="3"/>
    <n v="179690000"/>
    <n v="1754000000"/>
    <n v="90400000"/>
    <n v="1145"/>
    <n v="3.6900000000000002E-2"/>
    <b v="1"/>
    <n v="1998"/>
    <x v="4"/>
    <s v="Acquired"/>
    <n v="9.76"/>
    <n v="78952"/>
    <n v="27"/>
  </r>
  <r>
    <s v="Startup_81"/>
    <x v="2"/>
    <n v="3"/>
    <n v="138170000"/>
    <n v="1045260000"/>
    <n v="90950000"/>
    <n v="271"/>
    <n v="7.2599999999999998E-2"/>
    <b v="1"/>
    <n v="1999"/>
    <x v="4"/>
    <s v="Private"/>
    <n v="7.57"/>
    <n v="335609"/>
    <n v="26"/>
  </r>
  <r>
    <s v="Startup_82"/>
    <x v="7"/>
    <n v="4"/>
    <n v="23240000"/>
    <n v="222690000"/>
    <n v="78040000"/>
    <n v="1850"/>
    <n v="2.0899999999999998E-2"/>
    <b v="0"/>
    <n v="2009"/>
    <x v="0"/>
    <s v="Acquired"/>
    <n v="9.58"/>
    <n v="42184"/>
    <n v="16"/>
  </r>
  <r>
    <s v="Startup_83"/>
    <x v="5"/>
    <n v="2"/>
    <n v="23790000"/>
    <n v="241650000"/>
    <n v="800000"/>
    <n v="1713"/>
    <n v="2.12E-2"/>
    <b v="0"/>
    <n v="1995"/>
    <x v="2"/>
    <s v="Private"/>
    <n v="10.16"/>
    <n v="467"/>
    <n v="30"/>
  </r>
  <r>
    <s v="Startup_84"/>
    <x v="1"/>
    <n v="2"/>
    <n v="1200000"/>
    <n v="11460000"/>
    <n v="5820000"/>
    <n v="3635"/>
    <n v="2E-3"/>
    <b v="0"/>
    <n v="1992"/>
    <x v="3"/>
    <s v="Acquired"/>
    <n v="9.5500000000000007"/>
    <n v="1601"/>
    <n v="33"/>
  </r>
  <r>
    <s v="Startup_85"/>
    <x v="2"/>
    <n v="2"/>
    <n v="290330000"/>
    <n v="2419330000"/>
    <n v="22600000"/>
    <n v="3216"/>
    <n v="4.4299999999999999E-2"/>
    <b v="0"/>
    <n v="2000"/>
    <x v="4"/>
    <s v="Acquired"/>
    <n v="8.33"/>
    <n v="7027"/>
    <n v="25"/>
  </r>
  <r>
    <s v="Startup_86"/>
    <x v="0"/>
    <n v="2"/>
    <n v="2070000"/>
    <n v="6570000"/>
    <n v="13220000"/>
    <n v="2298"/>
    <n v="8.8400000000000006E-2"/>
    <b v="0"/>
    <n v="2006"/>
    <x v="2"/>
    <s v="Private"/>
    <n v="3.17"/>
    <n v="5753"/>
    <n v="19"/>
  </r>
  <r>
    <s v="Startup_87"/>
    <x v="2"/>
    <n v="3"/>
    <n v="31380000"/>
    <n v="315200000"/>
    <n v="39940000"/>
    <n v="3737"/>
    <n v="6.1000000000000004E-3"/>
    <b v="1"/>
    <n v="2021"/>
    <x v="3"/>
    <s v="Acquired"/>
    <n v="10.039999999999999"/>
    <n v="10688"/>
    <n v="4"/>
  </r>
  <r>
    <s v="Startup_88"/>
    <x v="6"/>
    <n v="3"/>
    <n v="94720000"/>
    <n v="475620000"/>
    <n v="92270000"/>
    <n v="3834"/>
    <n v="1.9900000000000001E-2"/>
    <b v="1"/>
    <n v="1993"/>
    <x v="3"/>
    <s v="Private"/>
    <n v="5.0199999999999996"/>
    <n v="24066"/>
    <n v="32"/>
  </r>
  <r>
    <s v="Startup_89"/>
    <x v="5"/>
    <n v="2"/>
    <n v="242330000"/>
    <n v="2595580000"/>
    <n v="47260000"/>
    <n v="1515"/>
    <n v="3.1699999999999999E-2"/>
    <b v="1"/>
    <n v="1993"/>
    <x v="4"/>
    <s v="Private"/>
    <n v="10.71"/>
    <n v="31195"/>
    <n v="32"/>
  </r>
  <r>
    <s v="Startup_9"/>
    <x v="4"/>
    <n v="5"/>
    <n v="258390000"/>
    <n v="935470000"/>
    <n v="78060000"/>
    <n v="447"/>
    <n v="1.6199999999999999E-2"/>
    <b v="0"/>
    <n v="2020"/>
    <x v="1"/>
    <s v="Acquired"/>
    <n v="3.62"/>
    <n v="174631"/>
    <n v="5"/>
  </r>
  <r>
    <s v="Startup_90"/>
    <x v="3"/>
    <n v="4"/>
    <n v="288650000"/>
    <n v="3496170000"/>
    <n v="1440000"/>
    <n v="480"/>
    <n v="7.3400000000000007E-2"/>
    <b v="0"/>
    <n v="2006"/>
    <x v="4"/>
    <s v="Acquired"/>
    <n v="12.11"/>
    <n v="3000"/>
    <n v="19"/>
  </r>
  <r>
    <s v="Startup_91"/>
    <x v="7"/>
    <n v="1"/>
    <n v="237110000"/>
    <n v="2135260000"/>
    <n v="28350000"/>
    <n v="981"/>
    <n v="6.4399999999999999E-2"/>
    <b v="0"/>
    <n v="2008"/>
    <x v="0"/>
    <s v="Private"/>
    <n v="9.01"/>
    <n v="28899"/>
    <n v="17"/>
  </r>
  <r>
    <s v="Startup_92"/>
    <x v="4"/>
    <n v="1"/>
    <n v="207320000"/>
    <n v="1971270000"/>
    <n v="4560000"/>
    <n v="1212"/>
    <n v="4.2200000000000001E-2"/>
    <b v="0"/>
    <n v="1994"/>
    <x v="2"/>
    <s v="IPO"/>
    <n v="9.51"/>
    <n v="3762"/>
    <n v="31"/>
  </r>
  <r>
    <s v="Startup_93"/>
    <x v="3"/>
    <n v="4"/>
    <n v="156630000"/>
    <n v="2258250000"/>
    <n v="3730000"/>
    <n v="1965"/>
    <n v="7.6100000000000001E-2"/>
    <b v="0"/>
    <n v="2021"/>
    <x v="2"/>
    <s v="Private"/>
    <n v="14.42"/>
    <n v="1898"/>
    <n v="4"/>
  </r>
  <r>
    <s v="Startup_94"/>
    <x v="5"/>
    <n v="2"/>
    <n v="26470000"/>
    <n v="348500000"/>
    <n v="27640000"/>
    <n v="562"/>
    <n v="6.1400000000000003E-2"/>
    <b v="0"/>
    <n v="2011"/>
    <x v="4"/>
    <s v="Acquired"/>
    <n v="13.17"/>
    <n v="49181"/>
    <n v="14"/>
  </r>
  <r>
    <s v="Startup_95"/>
    <x v="5"/>
    <n v="3"/>
    <n v="287470000"/>
    <n v="4016200000"/>
    <n v="27630000"/>
    <n v="887"/>
    <n v="8.9700000000000002E-2"/>
    <b v="0"/>
    <n v="1995"/>
    <x v="3"/>
    <s v="Private"/>
    <n v="13.97"/>
    <n v="31150"/>
    <n v="30"/>
  </r>
  <r>
    <s v="Startup_96"/>
    <x v="5"/>
    <n v="1"/>
    <n v="227640000"/>
    <n v="2905870000"/>
    <n v="78730000"/>
    <n v="2199"/>
    <n v="8.2000000000000003E-2"/>
    <b v="1"/>
    <n v="2011"/>
    <x v="4"/>
    <s v="Acquired"/>
    <n v="12.77"/>
    <n v="35803"/>
    <n v="14"/>
  </r>
  <r>
    <s v="Startup_97"/>
    <x v="3"/>
    <n v="5"/>
    <n v="191870000"/>
    <n v="826390000"/>
    <n v="97490000"/>
    <n v="4766"/>
    <n v="2.5999999999999999E-2"/>
    <b v="1"/>
    <n v="1990"/>
    <x v="3"/>
    <s v="Private"/>
    <n v="4.3099999999999996"/>
    <n v="20455"/>
    <n v="35"/>
  </r>
  <r>
    <s v="Startup_98"/>
    <x v="0"/>
    <n v="5"/>
    <n v="227830000"/>
    <n v="1090830000"/>
    <n v="37180000"/>
    <n v="2672"/>
    <n v="2.7900000000000001E-2"/>
    <b v="0"/>
    <n v="2009"/>
    <x v="3"/>
    <s v="Private"/>
    <n v="4.79"/>
    <n v="13915"/>
    <n v="16"/>
  </r>
  <r>
    <s v="Startup_99"/>
    <x v="5"/>
    <n v="4"/>
    <n v="217370000"/>
    <n v="2025780000"/>
    <n v="42950000"/>
    <n v="4964"/>
    <n v="1.34E-2"/>
    <b v="0"/>
    <n v="2011"/>
    <x v="4"/>
    <s v="Private"/>
    <n v="9.32"/>
    <n v="8652"/>
    <n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Startup_7"/>
    <x v="0"/>
    <n v="4"/>
    <n v="232260000"/>
    <n v="1039510000"/>
    <n v="38600000"/>
    <n v="1404"/>
    <n v="1E-3"/>
    <b v="0"/>
    <n v="2016"/>
    <x v="0"/>
    <s v="Private"/>
    <n v="4.4800000000000004"/>
    <n v="27493"/>
    <n v="9"/>
    <x v="0"/>
  </r>
  <r>
    <s v="Startup_16"/>
    <x v="1"/>
    <n v="2"/>
    <n v="141580000"/>
    <n v="1593980000"/>
    <n v="16770000"/>
    <n v="1846"/>
    <n v="0.01"/>
    <b v="1"/>
    <n v="1994"/>
    <x v="0"/>
    <s v="Private"/>
    <n v="11.26"/>
    <n v="9085"/>
    <n v="31"/>
    <x v="1"/>
  </r>
  <r>
    <s v="Startup_18"/>
    <x v="2"/>
    <n v="2"/>
    <n v="145690000"/>
    <n v="1276060000"/>
    <n v="38830000"/>
    <n v="915"/>
    <n v="6.7000000000000002E-3"/>
    <b v="1"/>
    <n v="2009"/>
    <x v="0"/>
    <s v="Private"/>
    <n v="8.76"/>
    <n v="42437"/>
    <n v="16"/>
    <x v="2"/>
  </r>
  <r>
    <s v="Startup_23"/>
    <x v="2"/>
    <n v="1"/>
    <n v="65800000"/>
    <n v="655460000"/>
    <n v="10500000"/>
    <n v="2177"/>
    <n v="3.9199999999999999E-2"/>
    <b v="0"/>
    <n v="2006"/>
    <x v="0"/>
    <s v="Private"/>
    <n v="9.9600000000000009"/>
    <n v="4823"/>
    <n v="19"/>
    <x v="2"/>
  </r>
  <r>
    <s v="Startup_27"/>
    <x v="1"/>
    <n v="5"/>
    <n v="270220000"/>
    <n v="2536540000"/>
    <n v="48710000"/>
    <n v="2421"/>
    <n v="9.0300000000000005E-2"/>
    <b v="1"/>
    <n v="1996"/>
    <x v="0"/>
    <s v="Private"/>
    <n v="9.39"/>
    <n v="20120"/>
    <n v="29"/>
    <x v="1"/>
  </r>
  <r>
    <s v="Startup_32"/>
    <x v="0"/>
    <n v="1"/>
    <n v="244610000"/>
    <n v="2885120000"/>
    <n v="63690000"/>
    <n v="2161"/>
    <n v="7.5399999999999995E-2"/>
    <b v="0"/>
    <n v="2009"/>
    <x v="0"/>
    <s v="Private"/>
    <n v="11.79"/>
    <n v="29472"/>
    <n v="16"/>
    <x v="0"/>
  </r>
  <r>
    <s v="Startup_35"/>
    <x v="1"/>
    <n v="2"/>
    <n v="121870000"/>
    <n v="1434400000"/>
    <n v="74620000"/>
    <n v="4168"/>
    <n v="1.5699999999999999E-2"/>
    <b v="1"/>
    <n v="2006"/>
    <x v="0"/>
    <s v="Private"/>
    <n v="11.77"/>
    <n v="17903"/>
    <n v="19"/>
    <x v="1"/>
  </r>
  <r>
    <s v="Startup_42"/>
    <x v="3"/>
    <n v="5"/>
    <n v="219790000"/>
    <n v="1646570000"/>
    <n v="73580000"/>
    <n v="4921"/>
    <n v="3.3300000000000003E-2"/>
    <b v="0"/>
    <n v="2004"/>
    <x v="0"/>
    <s v="Private"/>
    <n v="7.49"/>
    <n v="14952"/>
    <n v="21"/>
    <x v="3"/>
  </r>
  <r>
    <s v="Startup_55"/>
    <x v="4"/>
    <n v="1"/>
    <n v="231410000"/>
    <n v="2297030000"/>
    <n v="99110000"/>
    <n v="363"/>
    <n v="3.0300000000000001E-2"/>
    <b v="1"/>
    <n v="2013"/>
    <x v="0"/>
    <s v="Private"/>
    <n v="9.93"/>
    <n v="273030"/>
    <n v="12"/>
    <x v="4"/>
  </r>
  <r>
    <s v="Startup_61"/>
    <x v="5"/>
    <n v="1"/>
    <n v="183320000"/>
    <n v="2735140000"/>
    <n v="97970000"/>
    <n v="1139"/>
    <n v="8.8099999999999998E-2"/>
    <b v="1"/>
    <n v="1996"/>
    <x v="0"/>
    <s v="Private"/>
    <n v="14.92"/>
    <n v="86014"/>
    <n v="29"/>
    <x v="5"/>
  </r>
  <r>
    <s v="Startup_69"/>
    <x v="6"/>
    <n v="2"/>
    <n v="49020000"/>
    <n v="404810000"/>
    <n v="5710000"/>
    <n v="4265"/>
    <n v="8.2699999999999996E-2"/>
    <b v="1"/>
    <n v="1994"/>
    <x v="0"/>
    <s v="Private"/>
    <n v="8.26"/>
    <n v="1339"/>
    <n v="31"/>
    <x v="6"/>
  </r>
  <r>
    <s v="Startup_70"/>
    <x v="6"/>
    <n v="4"/>
    <n v="252540000"/>
    <n v="3489220000"/>
    <n v="85290000"/>
    <n v="1003"/>
    <n v="5.21E-2"/>
    <b v="0"/>
    <n v="2019"/>
    <x v="0"/>
    <s v="Private"/>
    <n v="13.82"/>
    <n v="85035"/>
    <n v="6"/>
    <x v="6"/>
  </r>
  <r>
    <s v="Startup_71"/>
    <x v="2"/>
    <n v="1"/>
    <n v="254000000"/>
    <n v="3437810000"/>
    <n v="22630000"/>
    <n v="2572"/>
    <n v="4.6899999999999997E-2"/>
    <b v="1"/>
    <n v="1995"/>
    <x v="0"/>
    <s v="Private"/>
    <n v="13.53"/>
    <n v="8799"/>
    <n v="30"/>
    <x v="2"/>
  </r>
  <r>
    <s v="Startup_73"/>
    <x v="4"/>
    <n v="5"/>
    <n v="46820000"/>
    <n v="628640000"/>
    <n v="46230000"/>
    <n v="661"/>
    <n v="2.9700000000000001E-2"/>
    <b v="1"/>
    <n v="2018"/>
    <x v="0"/>
    <s v="Private"/>
    <n v="13.43"/>
    <n v="69939"/>
    <n v="7"/>
    <x v="4"/>
  </r>
  <r>
    <s v="Startup_88"/>
    <x v="1"/>
    <n v="3"/>
    <n v="94720000"/>
    <n v="475620000"/>
    <n v="92270000"/>
    <n v="3834"/>
    <n v="1.9900000000000001E-2"/>
    <b v="1"/>
    <n v="1993"/>
    <x v="0"/>
    <s v="Private"/>
    <n v="5.0199999999999996"/>
    <n v="24066"/>
    <n v="32"/>
    <x v="1"/>
  </r>
  <r>
    <s v="Startup_95"/>
    <x v="5"/>
    <n v="3"/>
    <n v="287470000"/>
    <n v="4016200000"/>
    <n v="27630000"/>
    <n v="887"/>
    <n v="8.9700000000000002E-2"/>
    <b v="0"/>
    <n v="1995"/>
    <x v="0"/>
    <s v="Private"/>
    <n v="13.97"/>
    <n v="31150"/>
    <n v="30"/>
    <x v="5"/>
  </r>
  <r>
    <s v="Startup_97"/>
    <x v="7"/>
    <n v="5"/>
    <n v="191870000"/>
    <n v="826390000"/>
    <n v="97490000"/>
    <n v="4766"/>
    <n v="2.5999999999999999E-2"/>
    <b v="1"/>
    <n v="1990"/>
    <x v="0"/>
    <s v="Private"/>
    <n v="4.3099999999999996"/>
    <n v="20455"/>
    <n v="35"/>
    <x v="7"/>
  </r>
  <r>
    <s v="Startup_98"/>
    <x v="6"/>
    <n v="5"/>
    <n v="227830000"/>
    <n v="1090830000"/>
    <n v="37180000"/>
    <n v="2672"/>
    <n v="2.7900000000000001E-2"/>
    <b v="0"/>
    <n v="2009"/>
    <x v="0"/>
    <s v="Private"/>
    <n v="4.79"/>
    <n v="13915"/>
    <n v="16"/>
    <x v="6"/>
  </r>
  <r>
    <s v="Startup_102"/>
    <x v="0"/>
    <n v="2"/>
    <n v="271060000"/>
    <n v="2095940000"/>
    <n v="15720000"/>
    <n v="1615"/>
    <n v="4.1200000000000001E-2"/>
    <b v="1"/>
    <n v="1992"/>
    <x v="0"/>
    <s v="Private"/>
    <n v="7.73"/>
    <n v="9734"/>
    <n v="33"/>
    <x v="0"/>
  </r>
  <r>
    <s v="Startup_108"/>
    <x v="0"/>
    <n v="5"/>
    <n v="176680000"/>
    <n v="1443540000"/>
    <n v="31590000"/>
    <n v="4804"/>
    <n v="4.2000000000000003E-2"/>
    <b v="1"/>
    <n v="2007"/>
    <x v="0"/>
    <s v="Private"/>
    <n v="8.17"/>
    <n v="6576"/>
    <n v="18"/>
    <x v="0"/>
  </r>
  <r>
    <s v="Startup_125"/>
    <x v="7"/>
    <n v="5"/>
    <n v="109730000"/>
    <n v="1274140000"/>
    <n v="33890000"/>
    <n v="2389"/>
    <n v="4.5400000000000003E-2"/>
    <b v="1"/>
    <n v="2000"/>
    <x v="0"/>
    <s v="Private"/>
    <n v="11.61"/>
    <n v="14186"/>
    <n v="25"/>
    <x v="7"/>
  </r>
  <r>
    <s v="Startup_129"/>
    <x v="6"/>
    <n v="5"/>
    <n v="159310000"/>
    <n v="1476770000"/>
    <n v="18380000"/>
    <n v="2495"/>
    <n v="8.0500000000000002E-2"/>
    <b v="0"/>
    <n v="2011"/>
    <x v="0"/>
    <s v="Private"/>
    <n v="9.27"/>
    <n v="7367"/>
    <n v="14"/>
    <x v="6"/>
  </r>
  <r>
    <s v="Startup_148"/>
    <x v="4"/>
    <n v="1"/>
    <n v="3340000"/>
    <n v="41830000"/>
    <n v="21690000"/>
    <n v="3740"/>
    <n v="3.9300000000000002E-2"/>
    <b v="0"/>
    <n v="2004"/>
    <x v="0"/>
    <s v="Private"/>
    <n v="12.52"/>
    <n v="5799"/>
    <n v="21"/>
    <x v="4"/>
  </r>
  <r>
    <s v="Startup_149"/>
    <x v="0"/>
    <n v="1"/>
    <n v="16280000"/>
    <n v="175160000"/>
    <n v="9850000"/>
    <n v="700"/>
    <n v="9.0800000000000006E-2"/>
    <b v="0"/>
    <n v="1997"/>
    <x v="0"/>
    <s v="Private"/>
    <n v="10.76"/>
    <n v="14071"/>
    <n v="28"/>
    <x v="0"/>
  </r>
  <r>
    <s v="Startup_150"/>
    <x v="7"/>
    <n v="3"/>
    <n v="27020000"/>
    <n v="137730000"/>
    <n v="86210000"/>
    <n v="1314"/>
    <n v="2.5999999999999999E-3"/>
    <b v="0"/>
    <n v="1996"/>
    <x v="0"/>
    <s v="Private"/>
    <n v="5.0999999999999996"/>
    <n v="65609"/>
    <n v="29"/>
    <x v="7"/>
  </r>
  <r>
    <s v="Startup_160"/>
    <x v="3"/>
    <n v="2"/>
    <n v="1500000"/>
    <n v="19070000"/>
    <n v="34040000"/>
    <n v="2699"/>
    <n v="5.3900000000000003E-2"/>
    <b v="1"/>
    <n v="2017"/>
    <x v="0"/>
    <s v="Private"/>
    <n v="12.71"/>
    <n v="12612"/>
    <n v="8"/>
    <x v="3"/>
  </r>
  <r>
    <s v="Startup_166"/>
    <x v="7"/>
    <n v="3"/>
    <n v="83540000"/>
    <n v="1122040000"/>
    <n v="12710000"/>
    <n v="2963"/>
    <n v="9.6199999999999994E-2"/>
    <b v="1"/>
    <n v="2003"/>
    <x v="0"/>
    <s v="Private"/>
    <n v="13.43"/>
    <n v="4290"/>
    <n v="22"/>
    <x v="7"/>
  </r>
  <r>
    <s v="Startup_188"/>
    <x v="7"/>
    <n v="4"/>
    <n v="14560000"/>
    <n v="102600000"/>
    <n v="35730000"/>
    <n v="192"/>
    <n v="0.02"/>
    <b v="0"/>
    <n v="2012"/>
    <x v="0"/>
    <s v="Private"/>
    <n v="7.05"/>
    <n v="186094"/>
    <n v="13"/>
    <x v="7"/>
  </r>
  <r>
    <s v="Startup_193"/>
    <x v="7"/>
    <n v="2"/>
    <n v="240330000"/>
    <n v="2439110000"/>
    <n v="19660000"/>
    <n v="3649"/>
    <n v="6.0900000000000003E-2"/>
    <b v="1"/>
    <n v="2008"/>
    <x v="0"/>
    <s v="Private"/>
    <n v="10.15"/>
    <n v="5388"/>
    <n v="17"/>
    <x v="7"/>
  </r>
  <r>
    <s v="Startup_200"/>
    <x v="1"/>
    <n v="1"/>
    <n v="154820000"/>
    <n v="1708470000"/>
    <n v="36370000"/>
    <n v="2163"/>
    <n v="2.1299999999999999E-2"/>
    <b v="0"/>
    <n v="2007"/>
    <x v="0"/>
    <s v="Private"/>
    <n v="11.04"/>
    <n v="16815"/>
    <n v="18"/>
    <x v="1"/>
  </r>
  <r>
    <s v="Startup_202"/>
    <x v="0"/>
    <n v="4"/>
    <n v="298900000"/>
    <n v="3192860000"/>
    <n v="16970000"/>
    <n v="2347"/>
    <n v="9.8199999999999996E-2"/>
    <b v="1"/>
    <n v="2009"/>
    <x v="0"/>
    <s v="Private"/>
    <n v="10.68"/>
    <n v="7231"/>
    <n v="16"/>
    <x v="0"/>
  </r>
  <r>
    <s v="Startup_213"/>
    <x v="4"/>
    <n v="4"/>
    <n v="143260000"/>
    <n v="1197110000"/>
    <n v="11850000"/>
    <n v="2373"/>
    <n v="2.0999999999999999E-3"/>
    <b v="0"/>
    <n v="2008"/>
    <x v="0"/>
    <s v="Private"/>
    <n v="8.36"/>
    <n v="4994"/>
    <n v="17"/>
    <x v="4"/>
  </r>
  <r>
    <s v="Startup_216"/>
    <x v="0"/>
    <n v="3"/>
    <n v="11110000"/>
    <n v="45160000"/>
    <n v="98840000"/>
    <n v="1561"/>
    <n v="1.12E-2"/>
    <b v="0"/>
    <n v="2010"/>
    <x v="0"/>
    <s v="Private"/>
    <n v="4.0599999999999996"/>
    <n v="63318"/>
    <n v="15"/>
    <x v="0"/>
  </r>
  <r>
    <s v="Startup_227"/>
    <x v="1"/>
    <n v="1"/>
    <n v="33290000"/>
    <n v="289580000"/>
    <n v="3030000"/>
    <n v="57"/>
    <n v="7.4300000000000005E-2"/>
    <b v="0"/>
    <n v="2021"/>
    <x v="0"/>
    <s v="Private"/>
    <n v="8.6999999999999993"/>
    <n v="53158"/>
    <n v="4"/>
    <x v="1"/>
  </r>
  <r>
    <s v="Startup_228"/>
    <x v="1"/>
    <n v="2"/>
    <n v="268400000"/>
    <n v="2037240000"/>
    <n v="82310000"/>
    <n v="2312"/>
    <n v="6.3399999999999998E-2"/>
    <b v="1"/>
    <n v="2005"/>
    <x v="0"/>
    <s v="Private"/>
    <n v="7.59"/>
    <n v="35601"/>
    <n v="20"/>
    <x v="1"/>
  </r>
  <r>
    <s v="Startup_230"/>
    <x v="5"/>
    <n v="2"/>
    <n v="18920000"/>
    <n v="277930000"/>
    <n v="37960000"/>
    <n v="1040"/>
    <n v="6.93E-2"/>
    <b v="0"/>
    <n v="2020"/>
    <x v="0"/>
    <s v="Private"/>
    <n v="14.69"/>
    <n v="36500"/>
    <n v="5"/>
    <x v="5"/>
  </r>
  <r>
    <s v="Startup_232"/>
    <x v="4"/>
    <n v="5"/>
    <n v="155070000"/>
    <n v="1836980000"/>
    <n v="33750000"/>
    <n v="4050"/>
    <n v="5.9900000000000002E-2"/>
    <b v="0"/>
    <n v="1990"/>
    <x v="0"/>
    <s v="Private"/>
    <n v="11.85"/>
    <n v="8333"/>
    <n v="35"/>
    <x v="4"/>
  </r>
  <r>
    <s v="Startup_233"/>
    <x v="4"/>
    <n v="4"/>
    <n v="272000000"/>
    <n v="3324710000"/>
    <n v="29720000"/>
    <n v="4950"/>
    <n v="1.7999999999999999E-2"/>
    <b v="1"/>
    <n v="2000"/>
    <x v="0"/>
    <s v="Private"/>
    <n v="12.22"/>
    <n v="6004"/>
    <n v="25"/>
    <x v="4"/>
  </r>
  <r>
    <s v="Startup_236"/>
    <x v="1"/>
    <n v="4"/>
    <n v="163360000"/>
    <n v="672250000"/>
    <n v="75980000"/>
    <n v="1889"/>
    <n v="4.36E-2"/>
    <b v="0"/>
    <n v="1996"/>
    <x v="0"/>
    <s v="Private"/>
    <n v="4.12"/>
    <n v="40222"/>
    <n v="29"/>
    <x v="1"/>
  </r>
  <r>
    <s v="Startup_237"/>
    <x v="5"/>
    <n v="3"/>
    <n v="259420000"/>
    <n v="1578460000"/>
    <n v="98810000"/>
    <n v="1814"/>
    <n v="6.9900000000000004E-2"/>
    <b v="1"/>
    <n v="2015"/>
    <x v="0"/>
    <s v="Private"/>
    <n v="6.08"/>
    <n v="54471"/>
    <n v="10"/>
    <x v="5"/>
  </r>
  <r>
    <s v="Startup_250"/>
    <x v="3"/>
    <n v="3"/>
    <n v="264550000"/>
    <n v="2411820000"/>
    <n v="90550000"/>
    <n v="823"/>
    <n v="1.1999999999999999E-3"/>
    <b v="1"/>
    <n v="1993"/>
    <x v="0"/>
    <s v="Private"/>
    <n v="9.1199999999999992"/>
    <n v="110024"/>
    <n v="32"/>
    <x v="3"/>
  </r>
  <r>
    <s v="Startup_254"/>
    <x v="3"/>
    <n v="5"/>
    <n v="2040000"/>
    <n v="27500000"/>
    <n v="43610000"/>
    <n v="202"/>
    <n v="6.1600000000000002E-2"/>
    <b v="1"/>
    <n v="2000"/>
    <x v="0"/>
    <s v="Private"/>
    <n v="13.48"/>
    <n v="215891"/>
    <n v="25"/>
    <x v="3"/>
  </r>
  <r>
    <s v="Startup_267"/>
    <x v="7"/>
    <n v="3"/>
    <n v="113320000"/>
    <n v="532080000"/>
    <n v="65560000"/>
    <n v="933"/>
    <n v="2.2800000000000001E-2"/>
    <b v="0"/>
    <n v="1999"/>
    <x v="0"/>
    <s v="Private"/>
    <n v="4.7"/>
    <n v="70268"/>
    <n v="26"/>
    <x v="7"/>
  </r>
  <r>
    <s v="Startup_274"/>
    <x v="5"/>
    <n v="3"/>
    <n v="252120000"/>
    <n v="3652680000"/>
    <n v="36100000"/>
    <n v="4633"/>
    <n v="7.4499999999999997E-2"/>
    <b v="1"/>
    <n v="2005"/>
    <x v="0"/>
    <s v="Private"/>
    <n v="14.49"/>
    <n v="7792"/>
    <n v="20"/>
    <x v="5"/>
  </r>
  <r>
    <s v="Startup_290"/>
    <x v="6"/>
    <n v="5"/>
    <n v="202980000"/>
    <n v="1841700000"/>
    <n v="22750000"/>
    <n v="2083"/>
    <n v="8.2000000000000003E-2"/>
    <b v="1"/>
    <n v="2016"/>
    <x v="0"/>
    <s v="Private"/>
    <n v="9.07"/>
    <n v="10922"/>
    <n v="9"/>
    <x v="6"/>
  </r>
  <r>
    <s v="Startup_291"/>
    <x v="2"/>
    <n v="3"/>
    <n v="134060000"/>
    <n v="776290000"/>
    <n v="38220000"/>
    <n v="4749"/>
    <n v="6.0000000000000001E-3"/>
    <b v="0"/>
    <n v="1991"/>
    <x v="0"/>
    <s v="Private"/>
    <n v="5.79"/>
    <n v="8048"/>
    <n v="34"/>
    <x v="2"/>
  </r>
  <r>
    <s v="Startup_302"/>
    <x v="2"/>
    <n v="1"/>
    <n v="140830000"/>
    <n v="1440780000"/>
    <n v="97280000"/>
    <n v="166"/>
    <n v="5.9900000000000002E-2"/>
    <b v="1"/>
    <n v="1999"/>
    <x v="0"/>
    <s v="Private"/>
    <n v="10.23"/>
    <n v="586024"/>
    <n v="26"/>
    <x v="2"/>
  </r>
  <r>
    <s v="Startup_306"/>
    <x v="5"/>
    <n v="1"/>
    <n v="158340000"/>
    <n v="839420000"/>
    <n v="98180000"/>
    <n v="944"/>
    <n v="3.8899999999999997E-2"/>
    <b v="0"/>
    <n v="2003"/>
    <x v="0"/>
    <s v="Private"/>
    <n v="5.3"/>
    <n v="104004"/>
    <n v="22"/>
    <x v="5"/>
  </r>
  <r>
    <s v="Startup_314"/>
    <x v="5"/>
    <n v="4"/>
    <n v="288990000"/>
    <n v="1125780000"/>
    <n v="12110000"/>
    <n v="239"/>
    <n v="2.9899999999999999E-2"/>
    <b v="1"/>
    <n v="2021"/>
    <x v="0"/>
    <s v="Private"/>
    <n v="3.9"/>
    <n v="50669"/>
    <n v="4"/>
    <x v="5"/>
  </r>
  <r>
    <s v="Startup_315"/>
    <x v="5"/>
    <n v="5"/>
    <n v="9880000"/>
    <n v="122440000"/>
    <n v="6930000"/>
    <n v="1553"/>
    <n v="7.7299999999999994E-2"/>
    <b v="1"/>
    <n v="2022"/>
    <x v="0"/>
    <s v="Private"/>
    <n v="12.39"/>
    <n v="4462"/>
    <n v="3"/>
    <x v="5"/>
  </r>
  <r>
    <s v="Startup_319"/>
    <x v="5"/>
    <n v="4"/>
    <n v="289370000"/>
    <n v="3014260000"/>
    <n v="28450000"/>
    <n v="1678"/>
    <n v="3.4000000000000002E-2"/>
    <b v="1"/>
    <n v="2012"/>
    <x v="0"/>
    <s v="Private"/>
    <n v="10.42"/>
    <n v="16955"/>
    <n v="13"/>
    <x v="5"/>
  </r>
  <r>
    <s v="Startup_320"/>
    <x v="4"/>
    <n v="5"/>
    <n v="228150000"/>
    <n v="2418000000"/>
    <n v="82470000"/>
    <n v="2105"/>
    <n v="8.6699999999999999E-2"/>
    <b v="1"/>
    <n v="2021"/>
    <x v="0"/>
    <s v="Private"/>
    <n v="10.6"/>
    <n v="39178"/>
    <n v="4"/>
    <x v="4"/>
  </r>
  <r>
    <s v="Startup_323"/>
    <x v="2"/>
    <n v="5"/>
    <n v="96560000"/>
    <n v="545530000"/>
    <n v="73050000"/>
    <n v="3601"/>
    <n v="4.4999999999999997E-3"/>
    <b v="0"/>
    <n v="1993"/>
    <x v="0"/>
    <s v="Private"/>
    <n v="5.65"/>
    <n v="20286"/>
    <n v="32"/>
    <x v="2"/>
  </r>
  <r>
    <s v="Startup_325"/>
    <x v="0"/>
    <n v="3"/>
    <n v="223880000"/>
    <n v="2433280000"/>
    <n v="6540000"/>
    <n v="3178"/>
    <n v="4.1700000000000001E-2"/>
    <b v="1"/>
    <n v="2003"/>
    <x v="0"/>
    <s v="Private"/>
    <n v="10.87"/>
    <n v="2058"/>
    <n v="22"/>
    <x v="0"/>
  </r>
  <r>
    <s v="Startup_329"/>
    <x v="6"/>
    <n v="2"/>
    <n v="169040000"/>
    <n v="1328250000"/>
    <n v="34110000"/>
    <n v="4498"/>
    <n v="5.04E-2"/>
    <b v="1"/>
    <n v="2001"/>
    <x v="0"/>
    <s v="Private"/>
    <n v="7.86"/>
    <n v="7583"/>
    <n v="24"/>
    <x v="6"/>
  </r>
  <r>
    <s v="Startup_332"/>
    <x v="7"/>
    <n v="2"/>
    <n v="48190000"/>
    <n v="448460000"/>
    <n v="53180000"/>
    <n v="2163"/>
    <n v="7.8600000000000003E-2"/>
    <b v="1"/>
    <n v="2012"/>
    <x v="0"/>
    <s v="Private"/>
    <n v="9.31"/>
    <n v="24586"/>
    <n v="13"/>
    <x v="7"/>
  </r>
  <r>
    <s v="Startup_333"/>
    <x v="1"/>
    <n v="1"/>
    <n v="61510000"/>
    <n v="540030000"/>
    <n v="83830000"/>
    <n v="2666"/>
    <n v="4.2500000000000003E-2"/>
    <b v="0"/>
    <n v="2003"/>
    <x v="0"/>
    <s v="Private"/>
    <n v="8.7799999999999994"/>
    <n v="31444"/>
    <n v="22"/>
    <x v="1"/>
  </r>
  <r>
    <s v="Startup_335"/>
    <x v="4"/>
    <n v="4"/>
    <n v="46520000"/>
    <n v="355640000"/>
    <n v="42980000"/>
    <n v="3856"/>
    <n v="7.8700000000000006E-2"/>
    <b v="0"/>
    <n v="2021"/>
    <x v="0"/>
    <s v="Private"/>
    <n v="7.64"/>
    <n v="11146"/>
    <n v="4"/>
    <x v="4"/>
  </r>
  <r>
    <s v="Startup_339"/>
    <x v="5"/>
    <n v="5"/>
    <n v="239140000"/>
    <n v="1918610000"/>
    <n v="65920000"/>
    <n v="4271"/>
    <n v="4.1399999999999999E-2"/>
    <b v="0"/>
    <n v="2016"/>
    <x v="0"/>
    <s v="Private"/>
    <n v="8.02"/>
    <n v="15434"/>
    <n v="9"/>
    <x v="5"/>
  </r>
  <r>
    <s v="Startup_346"/>
    <x v="7"/>
    <n v="3"/>
    <n v="179700000"/>
    <n v="2338190000"/>
    <n v="86870000"/>
    <n v="4219"/>
    <n v="4.1500000000000002E-2"/>
    <b v="0"/>
    <n v="2017"/>
    <x v="0"/>
    <s v="Private"/>
    <n v="13.01"/>
    <n v="20590"/>
    <n v="8"/>
    <x v="7"/>
  </r>
  <r>
    <s v="Startup_347"/>
    <x v="3"/>
    <n v="3"/>
    <n v="182390000"/>
    <n v="1924500000"/>
    <n v="6560000"/>
    <n v="3232"/>
    <n v="9.2499999999999999E-2"/>
    <b v="0"/>
    <n v="2008"/>
    <x v="0"/>
    <s v="Private"/>
    <n v="10.55"/>
    <n v="2030"/>
    <n v="17"/>
    <x v="3"/>
  </r>
  <r>
    <s v="Startup_350"/>
    <x v="2"/>
    <n v="2"/>
    <n v="68050000"/>
    <n v="238960000"/>
    <n v="69480000"/>
    <n v="2517"/>
    <n v="7.8899999999999998E-2"/>
    <b v="0"/>
    <n v="2002"/>
    <x v="0"/>
    <s v="Private"/>
    <n v="3.51"/>
    <n v="27604"/>
    <n v="23"/>
    <x v="2"/>
  </r>
  <r>
    <s v="Startup_356"/>
    <x v="7"/>
    <n v="2"/>
    <n v="295310000"/>
    <n v="1414790000"/>
    <n v="16570000"/>
    <n v="2227"/>
    <n v="8.0799999999999997E-2"/>
    <b v="0"/>
    <n v="2014"/>
    <x v="0"/>
    <s v="Private"/>
    <n v="4.79"/>
    <n v="7441"/>
    <n v="11"/>
    <x v="7"/>
  </r>
  <r>
    <s v="Startup_359"/>
    <x v="3"/>
    <n v="4"/>
    <n v="204300000"/>
    <n v="1209810000"/>
    <n v="44580000"/>
    <n v="3467"/>
    <n v="4.4900000000000002E-2"/>
    <b v="0"/>
    <n v="1991"/>
    <x v="0"/>
    <s v="Private"/>
    <n v="5.92"/>
    <n v="12858"/>
    <n v="34"/>
    <x v="3"/>
  </r>
  <r>
    <s v="Startup_369"/>
    <x v="6"/>
    <n v="4"/>
    <n v="44200000"/>
    <n v="632680000"/>
    <n v="47340000"/>
    <n v="724"/>
    <n v="6.3600000000000004E-2"/>
    <b v="0"/>
    <n v="2013"/>
    <x v="0"/>
    <s v="Private"/>
    <n v="14.31"/>
    <n v="65387"/>
    <n v="12"/>
    <x v="6"/>
  </r>
  <r>
    <s v="Startup_392"/>
    <x v="6"/>
    <n v="5"/>
    <n v="37700000"/>
    <n v="160770000"/>
    <n v="28560000"/>
    <n v="520"/>
    <n v="7.4300000000000005E-2"/>
    <b v="0"/>
    <n v="1998"/>
    <x v="0"/>
    <s v="Private"/>
    <n v="4.26"/>
    <n v="54923"/>
    <n v="27"/>
    <x v="6"/>
  </r>
  <r>
    <s v="Startup_393"/>
    <x v="4"/>
    <n v="1"/>
    <n v="268920000"/>
    <n v="921550000"/>
    <n v="46340000"/>
    <n v="397"/>
    <n v="8.6400000000000005E-2"/>
    <b v="0"/>
    <n v="1993"/>
    <x v="0"/>
    <s v="Private"/>
    <n v="3.43"/>
    <n v="116725"/>
    <n v="32"/>
    <x v="4"/>
  </r>
  <r>
    <s v="Startup_400"/>
    <x v="1"/>
    <n v="3"/>
    <n v="187780000"/>
    <n v="2329620000"/>
    <n v="28530000"/>
    <n v="3407"/>
    <n v="7.3499999999999996E-2"/>
    <b v="0"/>
    <n v="2011"/>
    <x v="0"/>
    <s v="Private"/>
    <n v="12.41"/>
    <n v="8374"/>
    <n v="14"/>
    <x v="1"/>
  </r>
  <r>
    <s v="Startup_410"/>
    <x v="2"/>
    <n v="1"/>
    <n v="49620000"/>
    <n v="614780000"/>
    <n v="16600000"/>
    <n v="3769"/>
    <n v="2.75E-2"/>
    <b v="0"/>
    <n v="2009"/>
    <x v="0"/>
    <s v="Private"/>
    <n v="12.39"/>
    <n v="4404"/>
    <n v="16"/>
    <x v="2"/>
  </r>
  <r>
    <s v="Startup_413"/>
    <x v="7"/>
    <n v="4"/>
    <n v="178190000"/>
    <n v="1961550000"/>
    <n v="88240000"/>
    <n v="1999"/>
    <n v="5.7599999999999998E-2"/>
    <b v="1"/>
    <n v="2004"/>
    <x v="0"/>
    <s v="Private"/>
    <n v="11.01"/>
    <n v="44142"/>
    <n v="21"/>
    <x v="7"/>
  </r>
  <r>
    <s v="Startup_419"/>
    <x v="5"/>
    <n v="1"/>
    <n v="223410000"/>
    <n v="1952390000"/>
    <n v="95410000"/>
    <n v="1597"/>
    <n v="4.1799999999999997E-2"/>
    <b v="1"/>
    <n v="2000"/>
    <x v="0"/>
    <s v="Private"/>
    <n v="8.74"/>
    <n v="59743"/>
    <n v="25"/>
    <x v="5"/>
  </r>
  <r>
    <s v="Startup_426"/>
    <x v="1"/>
    <n v="5"/>
    <n v="100030000"/>
    <n v="1404780000"/>
    <n v="87170000"/>
    <n v="2057"/>
    <n v="9.4600000000000004E-2"/>
    <b v="1"/>
    <n v="2000"/>
    <x v="0"/>
    <s v="Private"/>
    <n v="14.04"/>
    <n v="42377"/>
    <n v="25"/>
    <x v="1"/>
  </r>
  <r>
    <s v="Startup_439"/>
    <x v="2"/>
    <n v="3"/>
    <n v="188820000"/>
    <n v="2669880000"/>
    <n v="64650000"/>
    <n v="1937"/>
    <n v="6.1499999999999999E-2"/>
    <b v="1"/>
    <n v="1996"/>
    <x v="0"/>
    <s v="Private"/>
    <n v="14.14"/>
    <n v="33376"/>
    <n v="29"/>
    <x v="2"/>
  </r>
  <r>
    <s v="Startup_444"/>
    <x v="7"/>
    <n v="5"/>
    <n v="154440000"/>
    <n v="1707710000"/>
    <n v="13970000"/>
    <n v="3504"/>
    <n v="2.3E-2"/>
    <b v="0"/>
    <n v="2017"/>
    <x v="0"/>
    <s v="Private"/>
    <n v="11.06"/>
    <n v="3987"/>
    <n v="8"/>
    <x v="7"/>
  </r>
  <r>
    <s v="Startup_449"/>
    <x v="2"/>
    <n v="2"/>
    <n v="179520000"/>
    <n v="1908810000"/>
    <n v="74120000"/>
    <n v="3828"/>
    <n v="7.5499999999999998E-2"/>
    <b v="0"/>
    <n v="2022"/>
    <x v="0"/>
    <s v="Private"/>
    <n v="10.63"/>
    <n v="19363"/>
    <n v="3"/>
    <x v="2"/>
  </r>
  <r>
    <s v="Startup_464"/>
    <x v="6"/>
    <n v="1"/>
    <n v="154030000"/>
    <n v="2246000000"/>
    <n v="6830000"/>
    <n v="2006"/>
    <n v="2.8799999999999999E-2"/>
    <b v="0"/>
    <n v="2011"/>
    <x v="0"/>
    <s v="Private"/>
    <n v="14.58"/>
    <n v="3405"/>
    <n v="14"/>
    <x v="6"/>
  </r>
  <r>
    <s v="Startup_467"/>
    <x v="7"/>
    <n v="5"/>
    <n v="131430000"/>
    <n v="934280000"/>
    <n v="40450000"/>
    <n v="887"/>
    <n v="4.8399999999999999E-2"/>
    <b v="1"/>
    <n v="1999"/>
    <x v="0"/>
    <s v="Private"/>
    <n v="7.11"/>
    <n v="45603"/>
    <n v="26"/>
    <x v="7"/>
  </r>
  <r>
    <s v="Startup_472"/>
    <x v="6"/>
    <n v="5"/>
    <n v="198960000"/>
    <n v="849790000"/>
    <n v="22710000"/>
    <n v="4719"/>
    <n v="9.8199999999999996E-2"/>
    <b v="0"/>
    <n v="1990"/>
    <x v="0"/>
    <s v="Private"/>
    <n v="4.2699999999999996"/>
    <n v="4812"/>
    <n v="35"/>
    <x v="6"/>
  </r>
  <r>
    <s v="Startup_475"/>
    <x v="5"/>
    <n v="3"/>
    <n v="93990000"/>
    <n v="932950000"/>
    <n v="57970000"/>
    <n v="934"/>
    <n v="9.8900000000000002E-2"/>
    <b v="1"/>
    <n v="1993"/>
    <x v="0"/>
    <s v="Private"/>
    <n v="9.93"/>
    <n v="62066"/>
    <n v="32"/>
    <x v="5"/>
  </r>
  <r>
    <s v="Startup_476"/>
    <x v="3"/>
    <n v="3"/>
    <n v="120010000"/>
    <n v="1623210000"/>
    <n v="75960000"/>
    <n v="524"/>
    <n v="2.3900000000000001E-2"/>
    <b v="0"/>
    <n v="2015"/>
    <x v="0"/>
    <s v="Private"/>
    <n v="13.53"/>
    <n v="144962"/>
    <n v="10"/>
    <x v="3"/>
  </r>
  <r>
    <s v="Startup_485"/>
    <x v="0"/>
    <n v="5"/>
    <n v="132890000"/>
    <n v="1801700000"/>
    <n v="16650000"/>
    <n v="3672"/>
    <n v="3.7600000000000001E-2"/>
    <b v="0"/>
    <n v="2016"/>
    <x v="0"/>
    <s v="Private"/>
    <n v="13.56"/>
    <n v="4534"/>
    <n v="9"/>
    <x v="0"/>
  </r>
  <r>
    <s v="Startup_486"/>
    <x v="3"/>
    <n v="2"/>
    <n v="99600000"/>
    <n v="1084720000"/>
    <n v="64610000"/>
    <n v="3676"/>
    <n v="5.4999999999999997E-3"/>
    <b v="0"/>
    <n v="2021"/>
    <x v="0"/>
    <s v="Private"/>
    <n v="10.89"/>
    <n v="17576"/>
    <n v="4"/>
    <x v="3"/>
  </r>
  <r>
    <s v="Startup_487"/>
    <x v="5"/>
    <n v="2"/>
    <n v="134910000"/>
    <n v="908100000"/>
    <n v="4570000"/>
    <n v="2806"/>
    <n v="3.56E-2"/>
    <b v="0"/>
    <n v="2003"/>
    <x v="0"/>
    <s v="Private"/>
    <n v="6.73"/>
    <n v="1629"/>
    <n v="22"/>
    <x v="5"/>
  </r>
  <r>
    <s v="Startup_489"/>
    <x v="3"/>
    <n v="5"/>
    <n v="44150000"/>
    <n v="564300000"/>
    <n v="94670000"/>
    <n v="3120"/>
    <n v="3.85E-2"/>
    <b v="0"/>
    <n v="2017"/>
    <x v="0"/>
    <s v="Private"/>
    <n v="12.78"/>
    <n v="30343"/>
    <n v="8"/>
    <x v="3"/>
  </r>
  <r>
    <s v="Startup_498"/>
    <x v="5"/>
    <n v="1"/>
    <n v="160290000"/>
    <n v="502090000"/>
    <n v="84730000"/>
    <n v="2222"/>
    <n v="4.3200000000000002E-2"/>
    <b v="0"/>
    <n v="2019"/>
    <x v="0"/>
    <s v="Private"/>
    <n v="3.13"/>
    <n v="38132"/>
    <n v="6"/>
    <x v="5"/>
  </r>
  <r>
    <s v="Startup_21"/>
    <x v="0"/>
    <n v="5"/>
    <n v="209800000"/>
    <n v="1442910000"/>
    <n v="51060000"/>
    <n v="4014"/>
    <n v="6.2600000000000003E-2"/>
    <b v="1"/>
    <n v="2007"/>
    <x v="1"/>
    <s v="Private"/>
    <n v="6.88"/>
    <n v="12720"/>
    <n v="18"/>
    <x v="0"/>
  </r>
  <r>
    <s v="Startup_44"/>
    <x v="3"/>
    <n v="3"/>
    <n v="190110000"/>
    <n v="1127310000"/>
    <n v="37210000"/>
    <n v="951"/>
    <n v="1.52E-2"/>
    <b v="0"/>
    <n v="2005"/>
    <x v="1"/>
    <s v="Private"/>
    <n v="5.93"/>
    <n v="39127"/>
    <n v="20"/>
    <x v="3"/>
  </r>
  <r>
    <s v="Startup_53"/>
    <x v="7"/>
    <n v="5"/>
    <n v="55720000"/>
    <n v="720020000"/>
    <n v="17910000"/>
    <n v="304"/>
    <n v="2.12E-2"/>
    <b v="1"/>
    <n v="1992"/>
    <x v="1"/>
    <s v="Private"/>
    <n v="12.92"/>
    <n v="58914"/>
    <n v="33"/>
    <x v="7"/>
  </r>
  <r>
    <s v="Startup_59"/>
    <x v="0"/>
    <n v="4"/>
    <n v="274700000"/>
    <n v="1872720000"/>
    <n v="20370000"/>
    <n v="1632"/>
    <n v="3.7100000000000001E-2"/>
    <b v="0"/>
    <n v="1991"/>
    <x v="1"/>
    <s v="Private"/>
    <n v="6.82"/>
    <n v="12482"/>
    <n v="34"/>
    <x v="0"/>
  </r>
  <r>
    <s v="Startup_66"/>
    <x v="3"/>
    <n v="2"/>
    <n v="145380000"/>
    <n v="1571000000"/>
    <n v="69800000"/>
    <n v="1242"/>
    <n v="7.2900000000000006E-2"/>
    <b v="0"/>
    <n v="1994"/>
    <x v="1"/>
    <s v="Private"/>
    <n v="10.81"/>
    <n v="56200"/>
    <n v="31"/>
    <x v="3"/>
  </r>
  <r>
    <s v="Startup_100"/>
    <x v="2"/>
    <n v="2"/>
    <n v="191350000"/>
    <n v="1139080000"/>
    <n v="84490000"/>
    <n v="4682"/>
    <n v="3.44E-2"/>
    <b v="0"/>
    <n v="2000"/>
    <x v="1"/>
    <s v="Private"/>
    <n v="5.95"/>
    <n v="18046"/>
    <n v="25"/>
    <x v="2"/>
  </r>
  <r>
    <s v="Startup_106"/>
    <x v="1"/>
    <n v="5"/>
    <n v="201140000"/>
    <n v="1861510000"/>
    <n v="56240000"/>
    <n v="1951"/>
    <n v="1.5800000000000002E-2"/>
    <b v="0"/>
    <n v="2003"/>
    <x v="1"/>
    <s v="Private"/>
    <n v="9.25"/>
    <n v="28826"/>
    <n v="22"/>
    <x v="1"/>
  </r>
  <r>
    <s v="Startup_107"/>
    <x v="6"/>
    <n v="2"/>
    <n v="13730000"/>
    <n v="176690000"/>
    <n v="34660000"/>
    <n v="4815"/>
    <n v="3.8699999999999998E-2"/>
    <b v="1"/>
    <n v="2022"/>
    <x v="1"/>
    <s v="Private"/>
    <n v="12.87"/>
    <n v="7198"/>
    <n v="3"/>
    <x v="6"/>
  </r>
  <r>
    <s v="Startup_110"/>
    <x v="0"/>
    <n v="5"/>
    <n v="166960000"/>
    <n v="643690000"/>
    <n v="8730000"/>
    <n v="3830"/>
    <n v="3.0000000000000001E-3"/>
    <b v="0"/>
    <n v="2012"/>
    <x v="1"/>
    <s v="Private"/>
    <n v="3.86"/>
    <n v="2279"/>
    <n v="13"/>
    <x v="0"/>
  </r>
  <r>
    <s v="Startup_113"/>
    <x v="5"/>
    <n v="3"/>
    <n v="36600000"/>
    <n v="276730000"/>
    <n v="54880000"/>
    <n v="4182"/>
    <n v="2.76E-2"/>
    <b v="1"/>
    <n v="1994"/>
    <x v="1"/>
    <s v="Private"/>
    <n v="7.56"/>
    <n v="13123"/>
    <n v="31"/>
    <x v="5"/>
  </r>
  <r>
    <s v="Startup_114"/>
    <x v="3"/>
    <n v="3"/>
    <n v="219440000"/>
    <n v="1177480000"/>
    <n v="12890000"/>
    <n v="4704"/>
    <n v="6.3200000000000006E-2"/>
    <b v="0"/>
    <n v="2012"/>
    <x v="1"/>
    <s v="Private"/>
    <n v="5.37"/>
    <n v="2740"/>
    <n v="13"/>
    <x v="3"/>
  </r>
  <r>
    <s v="Startup_118"/>
    <x v="0"/>
    <n v="4"/>
    <n v="238700000"/>
    <n v="2484440000"/>
    <n v="78790000"/>
    <n v="907"/>
    <n v="6.3600000000000004E-2"/>
    <b v="0"/>
    <n v="2014"/>
    <x v="1"/>
    <s v="Private"/>
    <n v="10.41"/>
    <n v="86869"/>
    <n v="11"/>
    <x v="0"/>
  </r>
  <r>
    <s v="Startup_121"/>
    <x v="5"/>
    <n v="3"/>
    <n v="136820000"/>
    <n v="1936720000"/>
    <n v="97960000"/>
    <n v="3124"/>
    <n v="7.8299999999999995E-2"/>
    <b v="1"/>
    <n v="2019"/>
    <x v="1"/>
    <s v="Private"/>
    <n v="14.16"/>
    <n v="31357"/>
    <n v="6"/>
    <x v="5"/>
  </r>
  <r>
    <s v="Startup_135"/>
    <x v="3"/>
    <n v="5"/>
    <n v="198670000"/>
    <n v="2487520000"/>
    <n v="54560000"/>
    <n v="2532"/>
    <n v="6.1000000000000004E-3"/>
    <b v="0"/>
    <n v="2000"/>
    <x v="1"/>
    <s v="Private"/>
    <n v="12.52"/>
    <n v="21548"/>
    <n v="25"/>
    <x v="3"/>
  </r>
  <r>
    <s v="Startup_142"/>
    <x v="2"/>
    <n v="1"/>
    <n v="297110000"/>
    <n v="2768470000"/>
    <n v="61330000"/>
    <n v="2372"/>
    <n v="6.7400000000000002E-2"/>
    <b v="0"/>
    <n v="2002"/>
    <x v="1"/>
    <s v="Private"/>
    <n v="9.32"/>
    <n v="25856"/>
    <n v="23"/>
    <x v="2"/>
  </r>
  <r>
    <s v="Startup_144"/>
    <x v="4"/>
    <n v="5"/>
    <n v="56050000"/>
    <n v="169890000"/>
    <n v="84710000"/>
    <n v="281"/>
    <n v="5.5399999999999998E-2"/>
    <b v="1"/>
    <n v="1991"/>
    <x v="1"/>
    <s v="Private"/>
    <n v="3.03"/>
    <n v="301459"/>
    <n v="34"/>
    <x v="4"/>
  </r>
  <r>
    <s v="Startup_162"/>
    <x v="1"/>
    <n v="2"/>
    <n v="89450000"/>
    <n v="429040000"/>
    <n v="54530000"/>
    <n v="1093"/>
    <n v="4.3499999999999997E-2"/>
    <b v="0"/>
    <n v="2001"/>
    <x v="1"/>
    <s v="Private"/>
    <n v="4.8"/>
    <n v="49890"/>
    <n v="24"/>
    <x v="1"/>
  </r>
  <r>
    <s v="Startup_170"/>
    <x v="6"/>
    <n v="5"/>
    <n v="117790000"/>
    <n v="794760000"/>
    <n v="94670000"/>
    <n v="2240"/>
    <n v="8.8099999999999998E-2"/>
    <b v="0"/>
    <n v="1992"/>
    <x v="1"/>
    <s v="Private"/>
    <n v="6.75"/>
    <n v="42263"/>
    <n v="33"/>
    <x v="6"/>
  </r>
  <r>
    <s v="Startup_171"/>
    <x v="4"/>
    <n v="2"/>
    <n v="37770000"/>
    <n v="217670000"/>
    <n v="56060000"/>
    <n v="205"/>
    <n v="8.1100000000000005E-2"/>
    <b v="0"/>
    <n v="2004"/>
    <x v="1"/>
    <s v="Private"/>
    <n v="5.76"/>
    <n v="273463"/>
    <n v="21"/>
    <x v="4"/>
  </r>
  <r>
    <s v="Startup_187"/>
    <x v="2"/>
    <n v="1"/>
    <n v="36540000"/>
    <n v="374120000"/>
    <n v="9490000"/>
    <n v="914"/>
    <n v="3.9699999999999999E-2"/>
    <b v="0"/>
    <n v="2008"/>
    <x v="1"/>
    <s v="Private"/>
    <n v="10.24"/>
    <n v="10383"/>
    <n v="17"/>
    <x v="2"/>
  </r>
  <r>
    <s v="Startup_203"/>
    <x v="4"/>
    <n v="2"/>
    <n v="269280000"/>
    <n v="1684010000"/>
    <n v="50750000"/>
    <n v="2956"/>
    <n v="7.8700000000000006E-2"/>
    <b v="0"/>
    <n v="2012"/>
    <x v="1"/>
    <s v="Private"/>
    <n v="6.25"/>
    <n v="17168"/>
    <n v="13"/>
    <x v="4"/>
  </r>
  <r>
    <s v="Startup_204"/>
    <x v="0"/>
    <n v="2"/>
    <n v="139280000"/>
    <n v="1408640000"/>
    <n v="59850000"/>
    <n v="1243"/>
    <n v="7.3599999999999999E-2"/>
    <b v="0"/>
    <n v="2000"/>
    <x v="1"/>
    <s v="Private"/>
    <n v="10.11"/>
    <n v="48150"/>
    <n v="25"/>
    <x v="0"/>
  </r>
  <r>
    <s v="Startup_205"/>
    <x v="7"/>
    <n v="3"/>
    <n v="187070000"/>
    <n v="2088000000"/>
    <n v="3440000"/>
    <n v="978"/>
    <n v="1.2500000000000001E-2"/>
    <b v="0"/>
    <n v="2011"/>
    <x v="1"/>
    <s v="Private"/>
    <n v="11.16"/>
    <n v="3517"/>
    <n v="14"/>
    <x v="7"/>
  </r>
  <r>
    <s v="Startup_212"/>
    <x v="3"/>
    <n v="5"/>
    <n v="82250000"/>
    <n v="1229290000"/>
    <n v="85700000"/>
    <n v="3883"/>
    <n v="9.1600000000000001E-2"/>
    <b v="0"/>
    <n v="1993"/>
    <x v="1"/>
    <s v="Private"/>
    <n v="14.95"/>
    <n v="22071"/>
    <n v="32"/>
    <x v="3"/>
  </r>
  <r>
    <s v="Startup_214"/>
    <x v="5"/>
    <n v="3"/>
    <n v="13790000"/>
    <n v="96570000"/>
    <n v="74000000"/>
    <n v="441"/>
    <n v="4.5600000000000002E-2"/>
    <b v="0"/>
    <n v="2019"/>
    <x v="1"/>
    <s v="Private"/>
    <n v="7"/>
    <n v="167800"/>
    <n v="6"/>
    <x v="5"/>
  </r>
  <r>
    <s v="Startup_226"/>
    <x v="7"/>
    <n v="3"/>
    <n v="288660000"/>
    <n v="4264900000"/>
    <n v="9390000"/>
    <n v="1016"/>
    <n v="5.2200000000000003E-2"/>
    <b v="0"/>
    <n v="2006"/>
    <x v="1"/>
    <s v="Private"/>
    <n v="14.77"/>
    <n v="9242"/>
    <n v="19"/>
    <x v="7"/>
  </r>
  <r>
    <s v="Startup_229"/>
    <x v="7"/>
    <n v="3"/>
    <n v="297450000"/>
    <n v="1320070000"/>
    <n v="21050000"/>
    <n v="1233"/>
    <n v="5.5399999999999998E-2"/>
    <b v="0"/>
    <n v="2005"/>
    <x v="1"/>
    <s v="Private"/>
    <n v="4.4400000000000004"/>
    <n v="17072"/>
    <n v="20"/>
    <x v="7"/>
  </r>
  <r>
    <s v="Startup_234"/>
    <x v="0"/>
    <n v="5"/>
    <n v="171610000"/>
    <n v="1016600000"/>
    <n v="91830000"/>
    <n v="4454"/>
    <n v="9.2600000000000002E-2"/>
    <b v="0"/>
    <n v="2010"/>
    <x v="1"/>
    <s v="Private"/>
    <n v="5.92"/>
    <n v="20617"/>
    <n v="15"/>
    <x v="0"/>
  </r>
  <r>
    <s v="Startup_239"/>
    <x v="7"/>
    <n v="1"/>
    <n v="156620000"/>
    <n v="2094990000"/>
    <n v="65200000"/>
    <n v="3802"/>
    <n v="1.01E-2"/>
    <b v="0"/>
    <n v="2020"/>
    <x v="1"/>
    <s v="Private"/>
    <n v="13.38"/>
    <n v="17149"/>
    <n v="5"/>
    <x v="7"/>
  </r>
  <r>
    <s v="Startup_241"/>
    <x v="6"/>
    <n v="1"/>
    <n v="73960000"/>
    <n v="671710000"/>
    <n v="25510000"/>
    <n v="3419"/>
    <n v="6.4500000000000002E-2"/>
    <b v="0"/>
    <n v="2022"/>
    <x v="1"/>
    <s v="Private"/>
    <n v="9.08"/>
    <n v="7461"/>
    <n v="3"/>
    <x v="6"/>
  </r>
  <r>
    <s v="Startup_243"/>
    <x v="3"/>
    <n v="1"/>
    <n v="48540000"/>
    <n v="182380000"/>
    <n v="87990000"/>
    <n v="2442"/>
    <n v="3.7999999999999999E-2"/>
    <b v="1"/>
    <n v="2017"/>
    <x v="1"/>
    <s v="Private"/>
    <n v="3.76"/>
    <n v="36032"/>
    <n v="8"/>
    <x v="3"/>
  </r>
  <r>
    <s v="Startup_248"/>
    <x v="6"/>
    <n v="5"/>
    <n v="209850000"/>
    <n v="1501660000"/>
    <n v="71940000"/>
    <n v="4237"/>
    <n v="5.2999999999999999E-2"/>
    <b v="0"/>
    <n v="1991"/>
    <x v="1"/>
    <s v="Private"/>
    <n v="7.16"/>
    <n v="16979"/>
    <n v="34"/>
    <x v="6"/>
  </r>
  <r>
    <s v="Startup_256"/>
    <x v="2"/>
    <n v="4"/>
    <n v="68970000"/>
    <n v="857660000"/>
    <n v="73830000"/>
    <n v="3497"/>
    <n v="9.4E-2"/>
    <b v="1"/>
    <n v="2001"/>
    <x v="1"/>
    <s v="Private"/>
    <n v="12.44"/>
    <n v="21112"/>
    <n v="24"/>
    <x v="2"/>
  </r>
  <r>
    <s v="Startup_259"/>
    <x v="4"/>
    <n v="2"/>
    <n v="167080000"/>
    <n v="1285270000"/>
    <n v="25470000"/>
    <n v="1953"/>
    <n v="6.2899999999999998E-2"/>
    <b v="1"/>
    <n v="1991"/>
    <x v="1"/>
    <s v="Private"/>
    <n v="7.69"/>
    <n v="13041"/>
    <n v="34"/>
    <x v="4"/>
  </r>
  <r>
    <s v="Startup_264"/>
    <x v="3"/>
    <n v="1"/>
    <n v="98270000"/>
    <n v="1089980000"/>
    <n v="480000"/>
    <n v="3801"/>
    <n v="9.3700000000000006E-2"/>
    <b v="1"/>
    <n v="2017"/>
    <x v="1"/>
    <s v="Private"/>
    <n v="11.09"/>
    <n v="126"/>
    <n v="8"/>
    <x v="3"/>
  </r>
  <r>
    <s v="Startup_266"/>
    <x v="1"/>
    <n v="3"/>
    <n v="35200000"/>
    <n v="410330000"/>
    <n v="16800000"/>
    <n v="239"/>
    <n v="9.4E-2"/>
    <b v="1"/>
    <n v="2021"/>
    <x v="1"/>
    <s v="Private"/>
    <n v="11.66"/>
    <n v="70293"/>
    <n v="4"/>
    <x v="1"/>
  </r>
  <r>
    <s v="Startup_268"/>
    <x v="0"/>
    <n v="1"/>
    <n v="3220000"/>
    <n v="17850000"/>
    <n v="99180000"/>
    <n v="3612"/>
    <n v="7.2800000000000004E-2"/>
    <b v="1"/>
    <n v="2022"/>
    <x v="1"/>
    <s v="Private"/>
    <n v="5.54"/>
    <n v="27458"/>
    <n v="3"/>
    <x v="0"/>
  </r>
  <r>
    <s v="Startup_272"/>
    <x v="7"/>
    <n v="2"/>
    <n v="6020000"/>
    <n v="29170000"/>
    <n v="86650000"/>
    <n v="4893"/>
    <n v="6.6799999999999998E-2"/>
    <b v="1"/>
    <n v="2009"/>
    <x v="1"/>
    <s v="Private"/>
    <n v="4.8499999999999996"/>
    <n v="17709"/>
    <n v="16"/>
    <x v="7"/>
  </r>
  <r>
    <s v="Startup_277"/>
    <x v="4"/>
    <n v="4"/>
    <n v="226230000"/>
    <n v="2240120000"/>
    <n v="40890000"/>
    <n v="1129"/>
    <n v="9.2999999999999992E-3"/>
    <b v="1"/>
    <n v="2014"/>
    <x v="1"/>
    <s v="Private"/>
    <n v="9.9"/>
    <n v="36218"/>
    <n v="11"/>
    <x v="4"/>
  </r>
  <r>
    <s v="Startup_279"/>
    <x v="0"/>
    <n v="3"/>
    <n v="52540000"/>
    <n v="355420000"/>
    <n v="90370000"/>
    <n v="1028"/>
    <n v="8.6300000000000002E-2"/>
    <b v="1"/>
    <n v="2001"/>
    <x v="1"/>
    <s v="Private"/>
    <n v="6.76"/>
    <n v="87909"/>
    <n v="24"/>
    <x v="0"/>
  </r>
  <r>
    <s v="Startup_283"/>
    <x v="0"/>
    <n v="3"/>
    <n v="231410000"/>
    <n v="2997220000"/>
    <n v="89890000"/>
    <n v="231"/>
    <n v="9.9599999999999994E-2"/>
    <b v="1"/>
    <n v="1998"/>
    <x v="1"/>
    <s v="Private"/>
    <n v="12.95"/>
    <n v="389134"/>
    <n v="27"/>
    <x v="0"/>
  </r>
  <r>
    <s v="Startup_288"/>
    <x v="0"/>
    <n v="5"/>
    <n v="255800000"/>
    <n v="1141160000"/>
    <n v="39040000"/>
    <n v="2793"/>
    <n v="2.12E-2"/>
    <b v="0"/>
    <n v="1990"/>
    <x v="1"/>
    <s v="Private"/>
    <n v="4.46"/>
    <n v="13978"/>
    <n v="35"/>
    <x v="0"/>
  </r>
  <r>
    <s v="Startup_293"/>
    <x v="7"/>
    <n v="2"/>
    <n v="178520000"/>
    <n v="2199490000"/>
    <n v="41330000"/>
    <n v="3242"/>
    <n v="3.8999999999999998E-3"/>
    <b v="0"/>
    <n v="2003"/>
    <x v="1"/>
    <s v="Private"/>
    <n v="12.32"/>
    <n v="12748"/>
    <n v="22"/>
    <x v="7"/>
  </r>
  <r>
    <s v="Startup_297"/>
    <x v="7"/>
    <n v="2"/>
    <n v="111860000"/>
    <n v="1511590000"/>
    <n v="42200000"/>
    <n v="3176"/>
    <n v="9.1200000000000003E-2"/>
    <b v="0"/>
    <n v="2001"/>
    <x v="1"/>
    <s v="Private"/>
    <n v="13.51"/>
    <n v="13287"/>
    <n v="24"/>
    <x v="7"/>
  </r>
  <r>
    <s v="Startup_303"/>
    <x v="4"/>
    <n v="1"/>
    <n v="283320000"/>
    <n v="2090220000"/>
    <n v="82620000"/>
    <n v="3981"/>
    <n v="3.78E-2"/>
    <b v="1"/>
    <n v="2003"/>
    <x v="1"/>
    <s v="Private"/>
    <n v="7.38"/>
    <n v="20754"/>
    <n v="22"/>
    <x v="4"/>
  </r>
  <r>
    <s v="Startup_305"/>
    <x v="2"/>
    <n v="1"/>
    <n v="256340000"/>
    <n v="2505290000"/>
    <n v="83960000"/>
    <n v="780"/>
    <n v="8.8599999999999998E-2"/>
    <b v="0"/>
    <n v="2013"/>
    <x v="1"/>
    <s v="Private"/>
    <n v="9.77"/>
    <n v="107641"/>
    <n v="12"/>
    <x v="2"/>
  </r>
  <r>
    <s v="Startup_307"/>
    <x v="0"/>
    <n v="2"/>
    <n v="247860000"/>
    <n v="1373410000"/>
    <n v="62170000"/>
    <n v="3225"/>
    <n v="4.99E-2"/>
    <b v="0"/>
    <n v="2001"/>
    <x v="1"/>
    <s v="Private"/>
    <n v="5.54"/>
    <n v="19278"/>
    <n v="24"/>
    <x v="0"/>
  </r>
  <r>
    <s v="Startup_312"/>
    <x v="1"/>
    <n v="3"/>
    <n v="39830000"/>
    <n v="325170000"/>
    <n v="45040000"/>
    <n v="3609"/>
    <n v="2.6100000000000002E-2"/>
    <b v="1"/>
    <n v="2005"/>
    <x v="1"/>
    <s v="Private"/>
    <n v="8.16"/>
    <n v="12480"/>
    <n v="20"/>
    <x v="1"/>
  </r>
  <r>
    <s v="Startup_328"/>
    <x v="3"/>
    <n v="2"/>
    <n v="214620000"/>
    <n v="2683850000"/>
    <n v="33110000"/>
    <n v="2010"/>
    <n v="8.3500000000000005E-2"/>
    <b v="0"/>
    <n v="1995"/>
    <x v="1"/>
    <s v="Private"/>
    <n v="12.51"/>
    <n v="16473"/>
    <n v="30"/>
    <x v="3"/>
  </r>
  <r>
    <s v="Startup_342"/>
    <x v="0"/>
    <n v="4"/>
    <n v="290270000"/>
    <n v="3242810000"/>
    <n v="48890000"/>
    <n v="3264"/>
    <n v="2.18E-2"/>
    <b v="1"/>
    <n v="2004"/>
    <x v="1"/>
    <s v="Private"/>
    <n v="11.17"/>
    <n v="14979"/>
    <n v="21"/>
    <x v="0"/>
  </r>
  <r>
    <s v="Startup_351"/>
    <x v="6"/>
    <n v="3"/>
    <n v="48670000"/>
    <n v="362930000"/>
    <n v="8310000"/>
    <n v="2156"/>
    <n v="9.4299999999999995E-2"/>
    <b v="1"/>
    <n v="2009"/>
    <x v="1"/>
    <s v="Private"/>
    <n v="7.46"/>
    <n v="3854"/>
    <n v="16"/>
    <x v="6"/>
  </r>
  <r>
    <s v="Startup_355"/>
    <x v="6"/>
    <n v="3"/>
    <n v="130260000"/>
    <n v="806600000"/>
    <n v="34150000"/>
    <n v="3769"/>
    <n v="4.5199999999999997E-2"/>
    <b v="0"/>
    <n v="1995"/>
    <x v="1"/>
    <s v="Private"/>
    <n v="6.19"/>
    <n v="9061"/>
    <n v="30"/>
    <x v="6"/>
  </r>
  <r>
    <s v="Startup_358"/>
    <x v="1"/>
    <n v="3"/>
    <n v="139650000"/>
    <n v="1867950000"/>
    <n v="94820000"/>
    <n v="1702"/>
    <n v="9.2499999999999999E-2"/>
    <b v="0"/>
    <n v="2011"/>
    <x v="1"/>
    <s v="Private"/>
    <n v="13.38"/>
    <n v="55711"/>
    <n v="14"/>
    <x v="1"/>
  </r>
  <r>
    <s v="Startup_376"/>
    <x v="1"/>
    <n v="2"/>
    <n v="232850000"/>
    <n v="3004130000"/>
    <n v="60450000"/>
    <n v="4431"/>
    <n v="8.3099999999999993E-2"/>
    <b v="1"/>
    <n v="1990"/>
    <x v="1"/>
    <s v="Private"/>
    <n v="12.9"/>
    <n v="13643"/>
    <n v="35"/>
    <x v="1"/>
  </r>
  <r>
    <s v="Startup_379"/>
    <x v="7"/>
    <n v="5"/>
    <n v="160510000"/>
    <n v="1348520000"/>
    <n v="47020000"/>
    <n v="3580"/>
    <n v="7.9699999999999993E-2"/>
    <b v="1"/>
    <n v="1991"/>
    <x v="1"/>
    <s v="Private"/>
    <n v="8.4"/>
    <n v="13134"/>
    <n v="34"/>
    <x v="7"/>
  </r>
  <r>
    <s v="Startup_384"/>
    <x v="0"/>
    <n v="5"/>
    <n v="96970000"/>
    <n v="413900000"/>
    <n v="44800000"/>
    <n v="199"/>
    <n v="2.3E-3"/>
    <b v="0"/>
    <n v="2018"/>
    <x v="1"/>
    <s v="Private"/>
    <n v="4.2699999999999996"/>
    <n v="225126"/>
    <n v="7"/>
    <x v="0"/>
  </r>
  <r>
    <s v="Startup_401"/>
    <x v="7"/>
    <n v="4"/>
    <n v="235140000"/>
    <n v="1706670000"/>
    <n v="81840000"/>
    <n v="3876"/>
    <n v="8.8300000000000003E-2"/>
    <b v="0"/>
    <n v="2008"/>
    <x v="1"/>
    <s v="Private"/>
    <n v="7.26"/>
    <n v="21115"/>
    <n v="17"/>
    <x v="7"/>
  </r>
  <r>
    <s v="Startup_402"/>
    <x v="5"/>
    <n v="1"/>
    <n v="183870000"/>
    <n v="1460950000"/>
    <n v="53210000"/>
    <n v="282"/>
    <n v="1.2999999999999999E-2"/>
    <b v="0"/>
    <n v="1997"/>
    <x v="1"/>
    <s v="Private"/>
    <n v="7.95"/>
    <n v="188688"/>
    <n v="28"/>
    <x v="5"/>
  </r>
  <r>
    <s v="Startup_418"/>
    <x v="5"/>
    <n v="5"/>
    <n v="141320000"/>
    <n v="2051670000"/>
    <n v="71870000"/>
    <n v="1728"/>
    <n v="6.8199999999999997E-2"/>
    <b v="1"/>
    <n v="2016"/>
    <x v="1"/>
    <s v="Private"/>
    <n v="14.52"/>
    <n v="41591"/>
    <n v="9"/>
    <x v="5"/>
  </r>
  <r>
    <s v="Startup_420"/>
    <x v="0"/>
    <n v="1"/>
    <n v="261610000"/>
    <n v="3597080000"/>
    <n v="72170000"/>
    <n v="2611"/>
    <n v="7.5600000000000001E-2"/>
    <b v="0"/>
    <n v="2008"/>
    <x v="1"/>
    <s v="Private"/>
    <n v="13.75"/>
    <n v="27641"/>
    <n v="17"/>
    <x v="0"/>
  </r>
  <r>
    <s v="Startup_428"/>
    <x v="5"/>
    <n v="1"/>
    <n v="148240000"/>
    <n v="1541400000"/>
    <n v="66560000"/>
    <n v="1701"/>
    <n v="5.0099999999999999E-2"/>
    <b v="0"/>
    <n v="2014"/>
    <x v="1"/>
    <s v="Private"/>
    <n v="10.4"/>
    <n v="39130"/>
    <n v="11"/>
    <x v="5"/>
  </r>
  <r>
    <s v="Startup_431"/>
    <x v="6"/>
    <n v="1"/>
    <n v="66560000"/>
    <n v="288180000"/>
    <n v="9320000"/>
    <n v="1951"/>
    <n v="9.8100000000000007E-2"/>
    <b v="1"/>
    <n v="2001"/>
    <x v="1"/>
    <s v="Private"/>
    <n v="4.33"/>
    <n v="4777"/>
    <n v="24"/>
    <x v="6"/>
  </r>
  <r>
    <s v="Startup_436"/>
    <x v="4"/>
    <n v="1"/>
    <n v="288250000"/>
    <n v="2209100000"/>
    <n v="32180000"/>
    <n v="3650"/>
    <n v="7.7499999999999999E-2"/>
    <b v="0"/>
    <n v="1993"/>
    <x v="1"/>
    <s v="Private"/>
    <n v="7.66"/>
    <n v="8816"/>
    <n v="32"/>
    <x v="4"/>
  </r>
  <r>
    <s v="Startup_442"/>
    <x v="7"/>
    <n v="1"/>
    <n v="151700000"/>
    <n v="478250000"/>
    <n v="59910000"/>
    <n v="1121"/>
    <n v="4.1399999999999999E-2"/>
    <b v="1"/>
    <n v="2012"/>
    <x v="1"/>
    <s v="Private"/>
    <n v="3.15"/>
    <n v="53443"/>
    <n v="13"/>
    <x v="7"/>
  </r>
  <r>
    <s v="Startup_462"/>
    <x v="4"/>
    <n v="2"/>
    <n v="189950000"/>
    <n v="2131920000"/>
    <n v="46710000"/>
    <n v="874"/>
    <n v="6.5100000000000005E-2"/>
    <b v="0"/>
    <n v="2014"/>
    <x v="1"/>
    <s v="Private"/>
    <n v="11.22"/>
    <n v="53444"/>
    <n v="11"/>
    <x v="4"/>
  </r>
  <r>
    <s v="Startup_468"/>
    <x v="2"/>
    <n v="1"/>
    <n v="29670000"/>
    <n v="236200000"/>
    <n v="7850000"/>
    <n v="801"/>
    <n v="1.9E-2"/>
    <b v="1"/>
    <n v="1999"/>
    <x v="1"/>
    <s v="Private"/>
    <n v="7.96"/>
    <n v="9800"/>
    <n v="26"/>
    <x v="2"/>
  </r>
  <r>
    <s v="Startup_471"/>
    <x v="0"/>
    <n v="3"/>
    <n v="174030000"/>
    <n v="1800040000"/>
    <n v="59070000"/>
    <n v="1301"/>
    <n v="5.5E-2"/>
    <b v="1"/>
    <n v="2022"/>
    <x v="1"/>
    <s v="Private"/>
    <n v="10.34"/>
    <n v="45404"/>
    <n v="3"/>
    <x v="0"/>
  </r>
  <r>
    <s v="Startup_477"/>
    <x v="0"/>
    <n v="1"/>
    <n v="257470000"/>
    <n v="2112700000"/>
    <n v="9980000"/>
    <n v="3217"/>
    <n v="9.4299999999999995E-2"/>
    <b v="0"/>
    <n v="1993"/>
    <x v="1"/>
    <s v="Private"/>
    <n v="8.2100000000000009"/>
    <n v="3102"/>
    <n v="32"/>
    <x v="0"/>
  </r>
  <r>
    <s v="Startup_480"/>
    <x v="2"/>
    <n v="3"/>
    <n v="179810000"/>
    <n v="2290960000"/>
    <n v="37070000"/>
    <n v="2530"/>
    <n v="7.9000000000000008E-3"/>
    <b v="0"/>
    <n v="2019"/>
    <x v="1"/>
    <s v="Private"/>
    <n v="12.74"/>
    <n v="14652"/>
    <n v="6"/>
    <x v="2"/>
  </r>
  <r>
    <s v="Startup_482"/>
    <x v="0"/>
    <n v="4"/>
    <n v="71490000"/>
    <n v="970650000"/>
    <n v="39360000"/>
    <n v="2024"/>
    <n v="6.1199999999999997E-2"/>
    <b v="0"/>
    <n v="1997"/>
    <x v="1"/>
    <s v="Private"/>
    <n v="13.58"/>
    <n v="19447"/>
    <n v="28"/>
    <x v="0"/>
  </r>
  <r>
    <s v="Startup_492"/>
    <x v="5"/>
    <n v="3"/>
    <n v="284600000"/>
    <n v="2135390000"/>
    <n v="37950000"/>
    <n v="3624"/>
    <n v="3.7999999999999999E-2"/>
    <b v="1"/>
    <n v="2020"/>
    <x v="1"/>
    <s v="Private"/>
    <n v="7.5"/>
    <n v="10472"/>
    <n v="5"/>
    <x v="5"/>
  </r>
  <r>
    <s v="Startup_494"/>
    <x v="5"/>
    <n v="5"/>
    <n v="108100000"/>
    <n v="1004240000"/>
    <n v="38650000"/>
    <n v="3588"/>
    <n v="1.04E-2"/>
    <b v="0"/>
    <n v="2006"/>
    <x v="1"/>
    <s v="Private"/>
    <n v="9.2899999999999991"/>
    <n v="10772"/>
    <n v="19"/>
    <x v="5"/>
  </r>
  <r>
    <s v="Startup_500"/>
    <x v="1"/>
    <n v="4"/>
    <n v="211760000"/>
    <n v="2563170000"/>
    <n v="84190000"/>
    <n v="2374"/>
    <n v="5.2600000000000001E-2"/>
    <b v="0"/>
    <n v="2000"/>
    <x v="1"/>
    <s v="Private"/>
    <n v="12.1"/>
    <n v="35463"/>
    <n v="25"/>
    <x v="1"/>
  </r>
  <r>
    <s v="Startup_1"/>
    <x v="6"/>
    <n v="1"/>
    <n v="101090000"/>
    <n v="844750000"/>
    <n v="67870000"/>
    <n v="1468"/>
    <n v="5.1999999999999998E-2"/>
    <b v="0"/>
    <n v="2006"/>
    <x v="2"/>
    <s v="Private"/>
    <n v="8.36"/>
    <n v="46233"/>
    <n v="19"/>
    <x v="6"/>
  </r>
  <r>
    <s v="Startup_10"/>
    <x v="3"/>
    <n v="3"/>
    <n v="66240000"/>
    <n v="707450000"/>
    <n v="21800000"/>
    <n v="3655"/>
    <n v="9.9000000000000005E-2"/>
    <b v="0"/>
    <n v="1995"/>
    <x v="2"/>
    <s v="Private"/>
    <n v="10.68"/>
    <n v="5964"/>
    <n v="30"/>
    <x v="3"/>
  </r>
  <r>
    <s v="Startup_11"/>
    <x v="4"/>
    <n v="5"/>
    <n v="292380000"/>
    <n v="1665520000"/>
    <n v="13870000"/>
    <n v="4657"/>
    <n v="9.5500000000000002E-2"/>
    <b v="0"/>
    <n v="1994"/>
    <x v="2"/>
    <s v="Private"/>
    <n v="5.7"/>
    <n v="2978"/>
    <n v="31"/>
    <x v="4"/>
  </r>
  <r>
    <s v="Startup_12"/>
    <x v="3"/>
    <n v="2"/>
    <n v="234040000"/>
    <n v="1207680000"/>
    <n v="66340000"/>
    <n v="1183"/>
    <n v="0.05"/>
    <b v="0"/>
    <n v="2011"/>
    <x v="2"/>
    <s v="Private"/>
    <n v="5.16"/>
    <n v="56078"/>
    <n v="14"/>
    <x v="3"/>
  </r>
  <r>
    <s v="Startup_17"/>
    <x v="0"/>
    <n v="2"/>
    <n v="55040000"/>
    <n v="427580000"/>
    <n v="18210000"/>
    <n v="2314"/>
    <n v="4.1999999999999997E-3"/>
    <b v="0"/>
    <n v="2015"/>
    <x v="2"/>
    <s v="Private"/>
    <n v="7.77"/>
    <n v="7869"/>
    <n v="10"/>
    <x v="0"/>
  </r>
  <r>
    <s v="Startup_20"/>
    <x v="3"/>
    <n v="5"/>
    <n v="222640000"/>
    <n v="714350000"/>
    <n v="87440000"/>
    <n v="4642"/>
    <n v="2.8299999999999999E-2"/>
    <b v="0"/>
    <n v="1995"/>
    <x v="2"/>
    <s v="Private"/>
    <n v="3.21"/>
    <n v="18837"/>
    <n v="30"/>
    <x v="3"/>
  </r>
  <r>
    <s v="Startup_22"/>
    <x v="6"/>
    <n v="1"/>
    <n v="121060000"/>
    <n v="1776820000"/>
    <n v="72370000"/>
    <n v="2174"/>
    <n v="9.9299999999999999E-2"/>
    <b v="0"/>
    <n v="1993"/>
    <x v="2"/>
    <s v="Private"/>
    <n v="14.68"/>
    <n v="33289"/>
    <n v="32"/>
    <x v="6"/>
  </r>
  <r>
    <s v="Startup_33"/>
    <x v="4"/>
    <n v="5"/>
    <n v="149680000"/>
    <n v="740700000"/>
    <n v="14990000"/>
    <n v="3812"/>
    <n v="2.3599999999999999E-2"/>
    <b v="0"/>
    <n v="2021"/>
    <x v="2"/>
    <s v="Private"/>
    <n v="4.95"/>
    <n v="3932"/>
    <n v="4"/>
    <x v="4"/>
  </r>
  <r>
    <s v="Startup_37"/>
    <x v="0"/>
    <n v="3"/>
    <n v="216200000"/>
    <n v="1257150000"/>
    <n v="21060000"/>
    <n v="3241"/>
    <n v="2.3300000000000001E-2"/>
    <b v="0"/>
    <n v="1990"/>
    <x v="2"/>
    <s v="Private"/>
    <n v="5.81"/>
    <n v="6498"/>
    <n v="35"/>
    <x v="0"/>
  </r>
  <r>
    <s v="Startup_43"/>
    <x v="1"/>
    <n v="5"/>
    <n v="75590000"/>
    <n v="242660000"/>
    <n v="23660000"/>
    <n v="2395"/>
    <n v="8.4099999999999994E-2"/>
    <b v="1"/>
    <n v="1993"/>
    <x v="2"/>
    <s v="Private"/>
    <n v="3.21"/>
    <n v="9879"/>
    <n v="32"/>
    <x v="1"/>
  </r>
  <r>
    <s v="Startup_58"/>
    <x v="2"/>
    <n v="5"/>
    <n v="131440000"/>
    <n v="1348500000"/>
    <n v="95040000"/>
    <n v="3461"/>
    <n v="6.4000000000000001E-2"/>
    <b v="0"/>
    <n v="1998"/>
    <x v="2"/>
    <s v="Private"/>
    <n v="10.26"/>
    <n v="27460"/>
    <n v="27"/>
    <x v="2"/>
  </r>
  <r>
    <s v="Startup_68"/>
    <x v="0"/>
    <n v="3"/>
    <n v="162180000"/>
    <n v="2288050000"/>
    <n v="78280000"/>
    <n v="2839"/>
    <n v="3.5900000000000001E-2"/>
    <b v="0"/>
    <n v="2012"/>
    <x v="2"/>
    <s v="Private"/>
    <n v="14.11"/>
    <n v="27573"/>
    <n v="13"/>
    <x v="0"/>
  </r>
  <r>
    <s v="Startup_72"/>
    <x v="1"/>
    <n v="4"/>
    <n v="286590000"/>
    <n v="1950630000"/>
    <n v="37750000"/>
    <n v="1312"/>
    <n v="5.4999999999999997E-3"/>
    <b v="0"/>
    <n v="1993"/>
    <x v="2"/>
    <s v="Private"/>
    <n v="6.81"/>
    <n v="28773"/>
    <n v="32"/>
    <x v="1"/>
  </r>
  <r>
    <s v="Startup_75"/>
    <x v="6"/>
    <n v="1"/>
    <n v="142530000"/>
    <n v="935340000"/>
    <n v="43570000"/>
    <n v="2216"/>
    <n v="3.9800000000000002E-2"/>
    <b v="1"/>
    <n v="1995"/>
    <x v="2"/>
    <s v="Private"/>
    <n v="6.56"/>
    <n v="19662"/>
    <n v="30"/>
    <x v="6"/>
  </r>
  <r>
    <s v="Startup_91"/>
    <x v="4"/>
    <n v="1"/>
    <n v="237110000"/>
    <n v="2135260000"/>
    <n v="28350000"/>
    <n v="981"/>
    <n v="6.4399999999999999E-2"/>
    <b v="0"/>
    <n v="2008"/>
    <x v="2"/>
    <s v="Private"/>
    <n v="9.01"/>
    <n v="28899"/>
    <n v="17"/>
    <x v="4"/>
  </r>
  <r>
    <s v="Startup_115"/>
    <x v="2"/>
    <n v="1"/>
    <n v="58180000"/>
    <n v="509090000"/>
    <n v="88230000"/>
    <n v="1975"/>
    <n v="4.87E-2"/>
    <b v="0"/>
    <n v="2019"/>
    <x v="2"/>
    <s v="Private"/>
    <n v="8.75"/>
    <n v="44673"/>
    <n v="6"/>
    <x v="2"/>
  </r>
  <r>
    <s v="Startup_120"/>
    <x v="1"/>
    <n v="3"/>
    <n v="16940000"/>
    <n v="187040000"/>
    <n v="49500000"/>
    <n v="4263"/>
    <n v="5.6399999999999999E-2"/>
    <b v="0"/>
    <n v="2003"/>
    <x v="2"/>
    <s v="Private"/>
    <n v="11.04"/>
    <n v="11612"/>
    <n v="22"/>
    <x v="1"/>
  </r>
  <r>
    <s v="Startup_132"/>
    <x v="5"/>
    <n v="4"/>
    <n v="171940000"/>
    <n v="2165990000"/>
    <n v="41860000"/>
    <n v="2339"/>
    <n v="8.5199999999999998E-2"/>
    <b v="0"/>
    <n v="1991"/>
    <x v="2"/>
    <s v="Private"/>
    <n v="12.6"/>
    <n v="17897"/>
    <n v="34"/>
    <x v="5"/>
  </r>
  <r>
    <s v="Startup_145"/>
    <x v="0"/>
    <n v="3"/>
    <n v="115500000"/>
    <n v="1230750000"/>
    <n v="42920000"/>
    <n v="2004"/>
    <n v="3.1899999999999998E-2"/>
    <b v="0"/>
    <n v="2015"/>
    <x v="2"/>
    <s v="Private"/>
    <n v="10.66"/>
    <n v="21417"/>
    <n v="10"/>
    <x v="0"/>
  </r>
  <r>
    <s v="Startup_147"/>
    <x v="7"/>
    <n v="2"/>
    <n v="21470000"/>
    <n v="217330000"/>
    <n v="66450000"/>
    <n v="3757"/>
    <n v="5.1200000000000002E-2"/>
    <b v="0"/>
    <n v="2016"/>
    <x v="2"/>
    <s v="Private"/>
    <n v="10.119999999999999"/>
    <n v="17687"/>
    <n v="9"/>
    <x v="7"/>
  </r>
  <r>
    <s v="Startup_153"/>
    <x v="6"/>
    <n v="2"/>
    <n v="174440000"/>
    <n v="2135030000"/>
    <n v="29130000"/>
    <n v="4119"/>
    <n v="0.08"/>
    <b v="1"/>
    <n v="2006"/>
    <x v="2"/>
    <s v="Private"/>
    <n v="12.24"/>
    <n v="7072"/>
    <n v="19"/>
    <x v="6"/>
  </r>
  <r>
    <s v="Startup_154"/>
    <x v="7"/>
    <n v="4"/>
    <n v="81870000"/>
    <n v="792470000"/>
    <n v="78720000"/>
    <n v="2316"/>
    <n v="6.2E-2"/>
    <b v="1"/>
    <n v="2006"/>
    <x v="2"/>
    <s v="Private"/>
    <n v="9.68"/>
    <n v="33990"/>
    <n v="19"/>
    <x v="7"/>
  </r>
  <r>
    <s v="Startup_161"/>
    <x v="0"/>
    <n v="4"/>
    <n v="140460000"/>
    <n v="1713590000"/>
    <n v="87230000"/>
    <n v="4679"/>
    <n v="5.45E-2"/>
    <b v="0"/>
    <n v="2018"/>
    <x v="2"/>
    <s v="Private"/>
    <n v="12.2"/>
    <n v="18643"/>
    <n v="7"/>
    <x v="0"/>
  </r>
  <r>
    <s v="Startup_201"/>
    <x v="3"/>
    <n v="5"/>
    <n v="147610000"/>
    <n v="566700000"/>
    <n v="89730000"/>
    <n v="2560"/>
    <n v="3.8800000000000001E-2"/>
    <b v="0"/>
    <n v="1994"/>
    <x v="2"/>
    <s v="Private"/>
    <n v="3.84"/>
    <n v="35051"/>
    <n v="31"/>
    <x v="3"/>
  </r>
  <r>
    <s v="Startup_218"/>
    <x v="5"/>
    <n v="5"/>
    <n v="279510000"/>
    <n v="2968260000"/>
    <n v="12330000"/>
    <n v="1309"/>
    <n v="9.7900000000000001E-2"/>
    <b v="1"/>
    <n v="2008"/>
    <x v="2"/>
    <s v="Private"/>
    <n v="10.62"/>
    <n v="9419"/>
    <n v="17"/>
    <x v="5"/>
  </r>
  <r>
    <s v="Startup_221"/>
    <x v="3"/>
    <n v="4"/>
    <n v="76170000"/>
    <n v="602790000"/>
    <n v="99710000"/>
    <n v="1594"/>
    <n v="5.8599999999999999E-2"/>
    <b v="0"/>
    <n v="1991"/>
    <x v="2"/>
    <s v="Private"/>
    <n v="7.91"/>
    <n v="62553"/>
    <n v="34"/>
    <x v="3"/>
  </r>
  <r>
    <s v="Startup_222"/>
    <x v="1"/>
    <n v="4"/>
    <n v="2020000"/>
    <n v="16310000"/>
    <n v="97980000"/>
    <n v="1592"/>
    <n v="2.12E-2"/>
    <b v="0"/>
    <n v="1999"/>
    <x v="2"/>
    <s v="Private"/>
    <n v="8.07"/>
    <n v="61545"/>
    <n v="26"/>
    <x v="1"/>
  </r>
  <r>
    <s v="Startup_231"/>
    <x v="1"/>
    <n v="3"/>
    <n v="264930000"/>
    <n v="858460000"/>
    <n v="97350000"/>
    <n v="3707"/>
    <n v="1.5299999999999999E-2"/>
    <b v="0"/>
    <n v="2013"/>
    <x v="2"/>
    <s v="Private"/>
    <n v="3.24"/>
    <n v="26261"/>
    <n v="12"/>
    <x v="1"/>
  </r>
  <r>
    <s v="Startup_244"/>
    <x v="7"/>
    <n v="2"/>
    <n v="100540000"/>
    <n v="443560000"/>
    <n v="52590000"/>
    <n v="893"/>
    <n v="5.6800000000000003E-2"/>
    <b v="1"/>
    <n v="2021"/>
    <x v="2"/>
    <s v="Private"/>
    <n v="4.41"/>
    <n v="58891"/>
    <n v="4"/>
    <x v="7"/>
  </r>
  <r>
    <s v="Startup_252"/>
    <x v="7"/>
    <n v="2"/>
    <n v="139910000"/>
    <n v="889330000"/>
    <n v="19210000"/>
    <n v="1111"/>
    <n v="1.26E-2"/>
    <b v="0"/>
    <n v="2015"/>
    <x v="2"/>
    <s v="Private"/>
    <n v="6.36"/>
    <n v="17291"/>
    <n v="10"/>
    <x v="7"/>
  </r>
  <r>
    <s v="Startup_271"/>
    <x v="7"/>
    <n v="4"/>
    <n v="85360000"/>
    <n v="279530000"/>
    <n v="34100000"/>
    <n v="4531"/>
    <n v="2.23E-2"/>
    <b v="0"/>
    <n v="2011"/>
    <x v="2"/>
    <s v="Private"/>
    <n v="3.27"/>
    <n v="7526"/>
    <n v="14"/>
    <x v="7"/>
  </r>
  <r>
    <s v="Startup_273"/>
    <x v="4"/>
    <n v="5"/>
    <n v="129960000"/>
    <n v="738610000"/>
    <n v="21630000"/>
    <n v="1634"/>
    <n v="5.0299999999999997E-2"/>
    <b v="1"/>
    <n v="2016"/>
    <x v="2"/>
    <s v="Private"/>
    <n v="5.68"/>
    <n v="13237"/>
    <n v="9"/>
    <x v="4"/>
  </r>
  <r>
    <s v="Startup_281"/>
    <x v="4"/>
    <n v="4"/>
    <n v="284220000"/>
    <n v="1327410000"/>
    <n v="80760000"/>
    <n v="3379"/>
    <n v="5.1799999999999999E-2"/>
    <b v="0"/>
    <n v="2001"/>
    <x v="2"/>
    <s v="Private"/>
    <n v="4.67"/>
    <n v="23901"/>
    <n v="24"/>
    <x v="4"/>
  </r>
  <r>
    <s v="Startup_284"/>
    <x v="5"/>
    <n v="1"/>
    <n v="212720000"/>
    <n v="1448700000"/>
    <n v="65110000"/>
    <n v="4973"/>
    <n v="2.3699999999999999E-2"/>
    <b v="0"/>
    <n v="1999"/>
    <x v="2"/>
    <s v="Private"/>
    <n v="6.81"/>
    <n v="13093"/>
    <n v="26"/>
    <x v="5"/>
  </r>
  <r>
    <s v="Startup_286"/>
    <x v="4"/>
    <n v="4"/>
    <n v="17850000"/>
    <n v="230310000"/>
    <n v="120000"/>
    <n v="4077"/>
    <n v="6.7400000000000002E-2"/>
    <b v="0"/>
    <n v="2009"/>
    <x v="2"/>
    <s v="Private"/>
    <n v="12.9"/>
    <n v="29"/>
    <n v="16"/>
    <x v="4"/>
  </r>
  <r>
    <s v="Startup_287"/>
    <x v="6"/>
    <n v="3"/>
    <n v="22870000"/>
    <n v="251470000"/>
    <n v="16990000"/>
    <n v="2262"/>
    <n v="7.0400000000000004E-2"/>
    <b v="1"/>
    <n v="1991"/>
    <x v="2"/>
    <s v="Private"/>
    <n v="11"/>
    <n v="7511"/>
    <n v="34"/>
    <x v="6"/>
  </r>
  <r>
    <s v="Startup_295"/>
    <x v="4"/>
    <n v="1"/>
    <n v="20160000"/>
    <n v="204250000"/>
    <n v="47960000"/>
    <n v="2010"/>
    <n v="2.5999999999999999E-3"/>
    <b v="1"/>
    <n v="2018"/>
    <x v="2"/>
    <s v="Private"/>
    <n v="10.130000000000001"/>
    <n v="23861"/>
    <n v="7"/>
    <x v="4"/>
  </r>
  <r>
    <s v="Startup_296"/>
    <x v="6"/>
    <n v="5"/>
    <n v="246540000"/>
    <n v="3510090000"/>
    <n v="1900000"/>
    <n v="2021"/>
    <n v="8.6E-3"/>
    <b v="0"/>
    <n v="2004"/>
    <x v="2"/>
    <s v="Private"/>
    <n v="14.24"/>
    <n v="940"/>
    <n v="21"/>
    <x v="6"/>
  </r>
  <r>
    <s v="Startup_308"/>
    <x v="4"/>
    <n v="5"/>
    <n v="89860000"/>
    <n v="792140000"/>
    <n v="55960000"/>
    <n v="544"/>
    <n v="2.9000000000000001E-2"/>
    <b v="0"/>
    <n v="2011"/>
    <x v="2"/>
    <s v="Private"/>
    <n v="8.82"/>
    <n v="102868"/>
    <n v="14"/>
    <x v="4"/>
  </r>
  <r>
    <s v="Startup_317"/>
    <x v="4"/>
    <n v="4"/>
    <n v="272900000"/>
    <n v="1400850000"/>
    <n v="4710000"/>
    <n v="4218"/>
    <n v="2.1399999999999999E-2"/>
    <b v="0"/>
    <n v="2007"/>
    <x v="2"/>
    <s v="Private"/>
    <n v="5.13"/>
    <n v="1117"/>
    <n v="18"/>
    <x v="4"/>
  </r>
  <r>
    <s v="Startup_322"/>
    <x v="5"/>
    <n v="1"/>
    <n v="93930000"/>
    <n v="544020000"/>
    <n v="22710000"/>
    <n v="4658"/>
    <n v="8.6099999999999996E-2"/>
    <b v="1"/>
    <n v="1994"/>
    <x v="2"/>
    <s v="Private"/>
    <n v="5.79"/>
    <n v="4875"/>
    <n v="31"/>
    <x v="5"/>
  </r>
  <r>
    <s v="Startup_324"/>
    <x v="6"/>
    <n v="5"/>
    <n v="217460000"/>
    <n v="1105790000"/>
    <n v="59920000"/>
    <n v="3753"/>
    <n v="7.8899999999999998E-2"/>
    <b v="1"/>
    <n v="2010"/>
    <x v="2"/>
    <s v="Private"/>
    <n v="5.09"/>
    <n v="15966"/>
    <n v="15"/>
    <x v="6"/>
  </r>
  <r>
    <s v="Startup_340"/>
    <x v="7"/>
    <n v="5"/>
    <n v="88600000"/>
    <n v="1106090000"/>
    <n v="25310000"/>
    <n v="744"/>
    <n v="4.7500000000000001E-2"/>
    <b v="1"/>
    <n v="2012"/>
    <x v="2"/>
    <s v="Private"/>
    <n v="12.48"/>
    <n v="34019"/>
    <n v="13"/>
    <x v="7"/>
  </r>
  <r>
    <s v="Startup_344"/>
    <x v="6"/>
    <n v="2"/>
    <n v="138900000"/>
    <n v="1448360000"/>
    <n v="52570000"/>
    <n v="3909"/>
    <n v="7.1599999999999997E-2"/>
    <b v="1"/>
    <n v="2020"/>
    <x v="2"/>
    <s v="Private"/>
    <n v="10.43"/>
    <n v="13448"/>
    <n v="5"/>
    <x v="6"/>
  </r>
  <r>
    <s v="Startup_348"/>
    <x v="3"/>
    <n v="4"/>
    <n v="74640000"/>
    <n v="402030000"/>
    <n v="95590000"/>
    <n v="2836"/>
    <n v="1.21E-2"/>
    <b v="1"/>
    <n v="2012"/>
    <x v="2"/>
    <s v="Private"/>
    <n v="5.39"/>
    <n v="33706"/>
    <n v="13"/>
    <x v="3"/>
  </r>
  <r>
    <s v="Startup_352"/>
    <x v="3"/>
    <n v="3"/>
    <n v="195630000"/>
    <n v="1210990000"/>
    <n v="91080000"/>
    <n v="3680"/>
    <n v="7.4899999999999994E-2"/>
    <b v="1"/>
    <n v="1994"/>
    <x v="2"/>
    <s v="Private"/>
    <n v="6.19"/>
    <n v="24750"/>
    <n v="31"/>
    <x v="3"/>
  </r>
  <r>
    <s v="Startup_360"/>
    <x v="6"/>
    <n v="2"/>
    <n v="118970000"/>
    <n v="1287320000"/>
    <n v="78900000"/>
    <n v="4068"/>
    <n v="5.5800000000000002E-2"/>
    <b v="1"/>
    <n v="1994"/>
    <x v="2"/>
    <s v="Private"/>
    <n v="10.82"/>
    <n v="19395"/>
    <n v="31"/>
    <x v="6"/>
  </r>
  <r>
    <s v="Startup_362"/>
    <x v="4"/>
    <n v="2"/>
    <n v="216710000"/>
    <n v="2247060000"/>
    <n v="67670000"/>
    <n v="4765"/>
    <n v="7.4499999999999997E-2"/>
    <b v="1"/>
    <n v="2014"/>
    <x v="2"/>
    <s v="Private"/>
    <n v="10.37"/>
    <n v="14201"/>
    <n v="11"/>
    <x v="4"/>
  </r>
  <r>
    <s v="Startup_366"/>
    <x v="4"/>
    <n v="3"/>
    <n v="272390000"/>
    <n v="1252380000"/>
    <n v="97080000"/>
    <n v="2808"/>
    <n v="2.24E-2"/>
    <b v="0"/>
    <n v="2012"/>
    <x v="2"/>
    <s v="Private"/>
    <n v="4.5999999999999996"/>
    <n v="34573"/>
    <n v="13"/>
    <x v="4"/>
  </r>
  <r>
    <s v="Startup_386"/>
    <x v="7"/>
    <n v="4"/>
    <n v="60660000"/>
    <n v="504650000"/>
    <n v="59130000"/>
    <n v="493"/>
    <n v="4.65E-2"/>
    <b v="1"/>
    <n v="1992"/>
    <x v="2"/>
    <s v="Private"/>
    <n v="8.32"/>
    <n v="119939"/>
    <n v="33"/>
    <x v="7"/>
  </r>
  <r>
    <s v="Startup_390"/>
    <x v="4"/>
    <n v="5"/>
    <n v="201280000"/>
    <n v="2195650000"/>
    <n v="83350000"/>
    <n v="1107"/>
    <n v="4.9399999999999999E-2"/>
    <b v="1"/>
    <n v="2009"/>
    <x v="2"/>
    <s v="Private"/>
    <n v="10.91"/>
    <n v="75294"/>
    <n v="16"/>
    <x v="4"/>
  </r>
  <r>
    <s v="Startup_395"/>
    <x v="5"/>
    <n v="4"/>
    <n v="185170000"/>
    <n v="1416760000"/>
    <n v="21930000"/>
    <n v="3721"/>
    <n v="7.9200000000000007E-2"/>
    <b v="0"/>
    <n v="2016"/>
    <x v="2"/>
    <s v="Private"/>
    <n v="7.65"/>
    <n v="5894"/>
    <n v="9"/>
    <x v="5"/>
  </r>
  <r>
    <s v="Startup_396"/>
    <x v="5"/>
    <n v="1"/>
    <n v="184080000"/>
    <n v="1572660000"/>
    <n v="39740000"/>
    <n v="1852"/>
    <n v="3.04E-2"/>
    <b v="1"/>
    <n v="2002"/>
    <x v="2"/>
    <s v="Private"/>
    <n v="8.5399999999999991"/>
    <n v="21458"/>
    <n v="23"/>
    <x v="5"/>
  </r>
  <r>
    <s v="Startup_399"/>
    <x v="6"/>
    <n v="1"/>
    <n v="284230000"/>
    <n v="4066700000"/>
    <n v="81690000"/>
    <n v="4534"/>
    <n v="4.2000000000000003E-2"/>
    <b v="1"/>
    <n v="2017"/>
    <x v="2"/>
    <s v="Private"/>
    <n v="14.31"/>
    <n v="18017"/>
    <n v="8"/>
    <x v="6"/>
  </r>
  <r>
    <s v="Startup_404"/>
    <x v="6"/>
    <n v="3"/>
    <n v="198420000"/>
    <n v="2572800000"/>
    <n v="57520000"/>
    <n v="1557"/>
    <n v="5.8599999999999999E-2"/>
    <b v="1"/>
    <n v="2015"/>
    <x v="2"/>
    <s v="Private"/>
    <n v="12.97"/>
    <n v="36943"/>
    <n v="10"/>
    <x v="6"/>
  </r>
  <r>
    <s v="Startup_412"/>
    <x v="7"/>
    <n v="3"/>
    <n v="217590000"/>
    <n v="3201160000"/>
    <n v="73010000"/>
    <n v="3488"/>
    <n v="7.5200000000000003E-2"/>
    <b v="1"/>
    <n v="2001"/>
    <x v="2"/>
    <s v="Private"/>
    <n v="14.71"/>
    <n v="20932"/>
    <n v="24"/>
    <x v="7"/>
  </r>
  <r>
    <s v="Startup_434"/>
    <x v="4"/>
    <n v="5"/>
    <n v="252220000"/>
    <n v="1894660000"/>
    <n v="90040000"/>
    <n v="3649"/>
    <n v="7.6700000000000004E-2"/>
    <b v="1"/>
    <n v="2002"/>
    <x v="2"/>
    <s v="Private"/>
    <n v="7.51"/>
    <n v="24675"/>
    <n v="23"/>
    <x v="4"/>
  </r>
  <r>
    <s v="Startup_437"/>
    <x v="2"/>
    <n v="5"/>
    <n v="125060000"/>
    <n v="620820000"/>
    <n v="75010000"/>
    <n v="2650"/>
    <n v="9.5200000000000007E-2"/>
    <b v="0"/>
    <n v="2000"/>
    <x v="2"/>
    <s v="Private"/>
    <n v="4.96"/>
    <n v="28306"/>
    <n v="25"/>
    <x v="2"/>
  </r>
  <r>
    <s v="Startup_454"/>
    <x v="5"/>
    <n v="3"/>
    <n v="108070000"/>
    <n v="558410000"/>
    <n v="69520000"/>
    <n v="1610"/>
    <n v="2.93E-2"/>
    <b v="1"/>
    <n v="2006"/>
    <x v="2"/>
    <s v="Private"/>
    <n v="5.17"/>
    <n v="43180"/>
    <n v="19"/>
    <x v="5"/>
  </r>
  <r>
    <s v="Startup_455"/>
    <x v="1"/>
    <n v="4"/>
    <n v="115460000"/>
    <n v="421000000"/>
    <n v="53300000"/>
    <n v="3757"/>
    <n v="5.3600000000000002E-2"/>
    <b v="0"/>
    <n v="1992"/>
    <x v="2"/>
    <s v="Private"/>
    <n v="3.65"/>
    <n v="14187"/>
    <n v="33"/>
    <x v="1"/>
  </r>
  <r>
    <s v="Startup_458"/>
    <x v="4"/>
    <n v="3"/>
    <n v="71120000"/>
    <n v="443220000"/>
    <n v="40000000"/>
    <n v="1280"/>
    <n v="4.1099999999999998E-2"/>
    <b v="0"/>
    <n v="2018"/>
    <x v="2"/>
    <s v="Private"/>
    <n v="6.23"/>
    <n v="31250"/>
    <n v="7"/>
    <x v="4"/>
  </r>
  <r>
    <s v="Startup_463"/>
    <x v="2"/>
    <n v="4"/>
    <n v="112170000"/>
    <n v="460170000"/>
    <n v="81690000"/>
    <n v="890"/>
    <n v="2.5000000000000001E-3"/>
    <b v="0"/>
    <n v="1996"/>
    <x v="2"/>
    <s v="Private"/>
    <n v="4.0999999999999996"/>
    <n v="91787"/>
    <n v="29"/>
    <x v="2"/>
  </r>
  <r>
    <s v="Startup_469"/>
    <x v="2"/>
    <n v="1"/>
    <n v="121800000"/>
    <n v="1473560000"/>
    <n v="54300000"/>
    <n v="3647"/>
    <n v="7.46E-2"/>
    <b v="1"/>
    <n v="1996"/>
    <x v="2"/>
    <s v="Private"/>
    <n v="12.1"/>
    <n v="14889"/>
    <n v="29"/>
    <x v="2"/>
  </r>
  <r>
    <s v="Startup_474"/>
    <x v="1"/>
    <n v="5"/>
    <n v="195810000"/>
    <n v="807730000"/>
    <n v="45070000"/>
    <n v="2900"/>
    <n v="5.1799999999999999E-2"/>
    <b v="1"/>
    <n v="2006"/>
    <x v="2"/>
    <s v="Private"/>
    <n v="4.13"/>
    <n v="15541"/>
    <n v="19"/>
    <x v="1"/>
  </r>
  <r>
    <s v="Startup_479"/>
    <x v="0"/>
    <n v="2"/>
    <n v="176730000"/>
    <n v="1713660000"/>
    <n v="1330000"/>
    <n v="12"/>
    <n v="4.5199999999999997E-2"/>
    <b v="1"/>
    <n v="1996"/>
    <x v="2"/>
    <s v="Private"/>
    <n v="9.6999999999999993"/>
    <n v="110833"/>
    <n v="29"/>
    <x v="0"/>
  </r>
  <r>
    <s v="Startup_490"/>
    <x v="0"/>
    <n v="3"/>
    <n v="135110000"/>
    <n v="1402410000"/>
    <n v="34040000"/>
    <n v="4237"/>
    <n v="8.3299999999999999E-2"/>
    <b v="0"/>
    <n v="2018"/>
    <x v="2"/>
    <s v="Private"/>
    <n v="10.38"/>
    <n v="8034"/>
    <n v="7"/>
    <x v="0"/>
  </r>
  <r>
    <s v="Startup_491"/>
    <x v="3"/>
    <n v="5"/>
    <n v="176570000"/>
    <n v="1987230000"/>
    <n v="51770000"/>
    <n v="2473"/>
    <n v="8.4400000000000003E-2"/>
    <b v="1"/>
    <n v="2005"/>
    <x v="2"/>
    <s v="Private"/>
    <n v="11.25"/>
    <n v="20934"/>
    <n v="20"/>
    <x v="3"/>
  </r>
  <r>
    <s v="Startup_496"/>
    <x v="7"/>
    <n v="2"/>
    <n v="181860000"/>
    <n v="2378650000"/>
    <n v="59640000"/>
    <n v="3331"/>
    <n v="5.7999999999999996E-3"/>
    <b v="1"/>
    <n v="1993"/>
    <x v="2"/>
    <s v="Private"/>
    <n v="13.08"/>
    <n v="17905"/>
    <n v="32"/>
    <x v="7"/>
  </r>
  <r>
    <s v="Startup_499"/>
    <x v="0"/>
    <n v="5"/>
    <n v="234650000"/>
    <n v="2814520000"/>
    <n v="53160000"/>
    <n v="4972"/>
    <n v="5.5300000000000002E-2"/>
    <b v="0"/>
    <n v="2011"/>
    <x v="2"/>
    <s v="Private"/>
    <n v="11.99"/>
    <n v="10692"/>
    <n v="14"/>
    <x v="0"/>
  </r>
  <r>
    <s v="Startup_2"/>
    <x v="7"/>
    <n v="1"/>
    <n v="247620000"/>
    <n v="3310830000"/>
    <n v="75650000"/>
    <n v="3280"/>
    <n v="8.1000000000000003E-2"/>
    <b v="1"/>
    <n v="2003"/>
    <x v="3"/>
    <s v="Private"/>
    <n v="13.37"/>
    <n v="23064"/>
    <n v="22"/>
    <x v="7"/>
  </r>
  <r>
    <s v="Startup_3"/>
    <x v="7"/>
    <n v="1"/>
    <n v="109240000"/>
    <n v="1059370000"/>
    <n v="84210000"/>
    <n v="4933"/>
    <n v="2.6100000000000002E-2"/>
    <b v="1"/>
    <n v="1995"/>
    <x v="3"/>
    <s v="Private"/>
    <n v="9.6999999999999993"/>
    <n v="17071"/>
    <n v="30"/>
    <x v="7"/>
  </r>
  <r>
    <s v="Startup_4"/>
    <x v="0"/>
    <n v="5"/>
    <n v="10750000"/>
    <n v="101900000"/>
    <n v="47080000"/>
    <n v="1059"/>
    <n v="2.53E-2"/>
    <b v="0"/>
    <n v="2003"/>
    <x v="3"/>
    <s v="Private"/>
    <n v="9.48"/>
    <n v="44457"/>
    <n v="22"/>
    <x v="0"/>
  </r>
  <r>
    <s v="Startup_24"/>
    <x v="6"/>
    <n v="2"/>
    <n v="193690000"/>
    <n v="1171960000"/>
    <n v="22620000"/>
    <n v="128"/>
    <n v="5.7799999999999997E-2"/>
    <b v="0"/>
    <n v="2003"/>
    <x v="3"/>
    <s v="Private"/>
    <n v="6.05"/>
    <n v="176719"/>
    <n v="22"/>
    <x v="6"/>
  </r>
  <r>
    <s v="Startup_34"/>
    <x v="4"/>
    <n v="1"/>
    <n v="20620000"/>
    <n v="108470000"/>
    <n v="69570000"/>
    <n v="1306"/>
    <n v="9.5699999999999993E-2"/>
    <b v="0"/>
    <n v="2013"/>
    <x v="3"/>
    <s v="Private"/>
    <n v="5.26"/>
    <n v="53270"/>
    <n v="12"/>
    <x v="4"/>
  </r>
  <r>
    <s v="Startup_36"/>
    <x v="2"/>
    <n v="1"/>
    <n v="149490000"/>
    <n v="728610000"/>
    <n v="98200000"/>
    <n v="3145"/>
    <n v="6.83E-2"/>
    <b v="0"/>
    <n v="1996"/>
    <x v="3"/>
    <s v="Private"/>
    <n v="4.87"/>
    <n v="31224"/>
    <n v="29"/>
    <x v="2"/>
  </r>
  <r>
    <s v="Startup_38"/>
    <x v="6"/>
    <n v="1"/>
    <n v="32420000"/>
    <n v="472040000"/>
    <n v="82530000"/>
    <n v="2357"/>
    <n v="4.3700000000000003E-2"/>
    <b v="0"/>
    <n v="2021"/>
    <x v="4"/>
    <s v="Private"/>
    <n v="14.56"/>
    <n v="35015"/>
    <n v="4"/>
    <x v="6"/>
  </r>
  <r>
    <s v="Startup_39"/>
    <x v="7"/>
    <n v="5"/>
    <n v="42440000"/>
    <n v="257340000"/>
    <n v="52080000"/>
    <n v="1937"/>
    <n v="7.22E-2"/>
    <b v="1"/>
    <n v="2002"/>
    <x v="4"/>
    <s v="Private"/>
    <n v="6.06"/>
    <n v="26887"/>
    <n v="23"/>
    <x v="7"/>
  </r>
  <r>
    <s v="Startup_41"/>
    <x v="6"/>
    <n v="1"/>
    <n v="80320000"/>
    <n v="1184200000"/>
    <n v="12330000"/>
    <n v="369"/>
    <n v="4.3299999999999998E-2"/>
    <b v="0"/>
    <n v="2003"/>
    <x v="3"/>
    <s v="Private"/>
    <n v="14.74"/>
    <n v="33415"/>
    <n v="22"/>
    <x v="6"/>
  </r>
  <r>
    <s v="Startup_45"/>
    <x v="4"/>
    <n v="5"/>
    <n v="148540000"/>
    <n v="1926640000"/>
    <n v="6350000"/>
    <n v="1382"/>
    <n v="4.36E-2"/>
    <b v="0"/>
    <n v="2017"/>
    <x v="3"/>
    <s v="Private"/>
    <n v="12.97"/>
    <n v="4595"/>
    <n v="8"/>
    <x v="4"/>
  </r>
  <r>
    <s v="Startup_46"/>
    <x v="0"/>
    <n v="5"/>
    <n v="172200000"/>
    <n v="2303230000"/>
    <n v="80160000"/>
    <n v="1444"/>
    <n v="9.0499999999999997E-2"/>
    <b v="1"/>
    <n v="2005"/>
    <x v="4"/>
    <s v="Private"/>
    <n v="13.38"/>
    <n v="55512"/>
    <n v="20"/>
    <x v="0"/>
  </r>
  <r>
    <s v="Startup_48"/>
    <x v="5"/>
    <n v="5"/>
    <n v="121610000"/>
    <n v="529890000"/>
    <n v="73390000"/>
    <n v="4862"/>
    <n v="4.07E-2"/>
    <b v="0"/>
    <n v="2015"/>
    <x v="4"/>
    <s v="Private"/>
    <n v="4.3600000000000003"/>
    <n v="15095"/>
    <n v="10"/>
    <x v="5"/>
  </r>
  <r>
    <s v="Startup_49"/>
    <x v="3"/>
    <n v="2"/>
    <n v="231390000"/>
    <n v="2903050000"/>
    <n v="30010000"/>
    <n v="345"/>
    <n v="7.6499999999999999E-2"/>
    <b v="1"/>
    <n v="2017"/>
    <x v="3"/>
    <s v="Private"/>
    <n v="12.55"/>
    <n v="86986"/>
    <n v="8"/>
    <x v="3"/>
  </r>
  <r>
    <s v="Startup_50"/>
    <x v="6"/>
    <n v="2"/>
    <n v="126900000"/>
    <n v="1779660000"/>
    <n v="17430000"/>
    <n v="2994"/>
    <n v="8.2500000000000004E-2"/>
    <b v="1"/>
    <n v="2021"/>
    <x v="4"/>
    <s v="Private"/>
    <n v="14.02"/>
    <n v="5822"/>
    <n v="4"/>
    <x v="6"/>
  </r>
  <r>
    <s v="Startup_52"/>
    <x v="5"/>
    <n v="1"/>
    <n v="287610000"/>
    <n v="4110090000"/>
    <n v="49670000"/>
    <n v="1561"/>
    <n v="5.4899999999999997E-2"/>
    <b v="1"/>
    <n v="2020"/>
    <x v="3"/>
    <s v="Private"/>
    <n v="14.29"/>
    <n v="31819"/>
    <n v="5"/>
    <x v="5"/>
  </r>
  <r>
    <s v="Startup_57"/>
    <x v="0"/>
    <n v="5"/>
    <n v="251210000"/>
    <n v="1233810000"/>
    <n v="74020000"/>
    <n v="1527"/>
    <n v="4.1999999999999997E-3"/>
    <b v="0"/>
    <n v="2020"/>
    <x v="3"/>
    <s v="Private"/>
    <n v="4.91"/>
    <n v="48474"/>
    <n v="5"/>
    <x v="0"/>
  </r>
  <r>
    <s v="Startup_79"/>
    <x v="3"/>
    <n v="2"/>
    <n v="211630000"/>
    <n v="2183590000"/>
    <n v="5080000"/>
    <n v="3167"/>
    <n v="7.1000000000000004E-3"/>
    <b v="1"/>
    <n v="2021"/>
    <x v="4"/>
    <s v="Private"/>
    <n v="10.32"/>
    <n v="1604"/>
    <n v="4"/>
    <x v="3"/>
  </r>
  <r>
    <s v="Startup_81"/>
    <x v="2"/>
    <n v="3"/>
    <n v="138170000"/>
    <n v="1045260000"/>
    <n v="90950000"/>
    <n v="271"/>
    <n v="7.2599999999999998E-2"/>
    <b v="1"/>
    <n v="1999"/>
    <x v="4"/>
    <s v="Private"/>
    <n v="7.57"/>
    <n v="335609"/>
    <n v="26"/>
    <x v="2"/>
  </r>
  <r>
    <s v="Startup_83"/>
    <x v="5"/>
    <n v="2"/>
    <n v="23790000"/>
    <n v="241650000"/>
    <n v="800000"/>
    <n v="1713"/>
    <n v="2.12E-2"/>
    <b v="0"/>
    <n v="1995"/>
    <x v="3"/>
    <s v="Private"/>
    <n v="10.16"/>
    <n v="467"/>
    <n v="30"/>
    <x v="5"/>
  </r>
  <r>
    <s v="Startup_86"/>
    <x v="6"/>
    <n v="2"/>
    <n v="2070000"/>
    <n v="6570000"/>
    <n v="13220000"/>
    <n v="2298"/>
    <n v="8.8400000000000006E-2"/>
    <b v="0"/>
    <n v="2006"/>
    <x v="3"/>
    <s v="Private"/>
    <n v="3.17"/>
    <n v="5753"/>
    <n v="19"/>
    <x v="6"/>
  </r>
  <r>
    <s v="Startup_89"/>
    <x v="5"/>
    <n v="2"/>
    <n v="242330000"/>
    <n v="2595580000"/>
    <n v="47260000"/>
    <n v="1515"/>
    <n v="3.1699999999999999E-2"/>
    <b v="1"/>
    <n v="1993"/>
    <x v="4"/>
    <s v="Private"/>
    <n v="10.71"/>
    <n v="31195"/>
    <n v="32"/>
    <x v="5"/>
  </r>
  <r>
    <s v="Startup_93"/>
    <x v="7"/>
    <n v="4"/>
    <n v="156630000"/>
    <n v="2258250000"/>
    <n v="3730000"/>
    <n v="1965"/>
    <n v="7.6100000000000001E-2"/>
    <b v="0"/>
    <n v="2021"/>
    <x v="3"/>
    <s v="Private"/>
    <n v="14.42"/>
    <n v="1898"/>
    <n v="4"/>
    <x v="7"/>
  </r>
  <r>
    <s v="Startup_99"/>
    <x v="5"/>
    <n v="4"/>
    <n v="217370000"/>
    <n v="2025780000"/>
    <n v="42950000"/>
    <n v="4964"/>
    <n v="1.34E-2"/>
    <b v="0"/>
    <n v="2011"/>
    <x v="4"/>
    <s v="Private"/>
    <n v="9.32"/>
    <n v="8652"/>
    <n v="14"/>
    <x v="5"/>
  </r>
  <r>
    <s v="Startup_101"/>
    <x v="7"/>
    <n v="1"/>
    <n v="294180000"/>
    <n v="2565350000"/>
    <n v="26890000"/>
    <n v="4795"/>
    <n v="0.1"/>
    <b v="0"/>
    <n v="2002"/>
    <x v="3"/>
    <s v="Private"/>
    <n v="8.7200000000000006"/>
    <n v="5608"/>
    <n v="23"/>
    <x v="7"/>
  </r>
  <r>
    <s v="Startup_112"/>
    <x v="3"/>
    <n v="3"/>
    <n v="94200000"/>
    <n v="1022670000"/>
    <n v="73270000"/>
    <n v="3807"/>
    <n v="5.2200000000000003E-2"/>
    <b v="0"/>
    <n v="2008"/>
    <x v="4"/>
    <s v="Private"/>
    <n v="10.86"/>
    <n v="19246"/>
    <n v="17"/>
    <x v="3"/>
  </r>
  <r>
    <s v="Startup_116"/>
    <x v="1"/>
    <n v="3"/>
    <n v="35030000"/>
    <n v="186870000"/>
    <n v="39410000"/>
    <n v="3827"/>
    <n v="3.6799999999999999E-2"/>
    <b v="1"/>
    <n v="2014"/>
    <x v="3"/>
    <s v="Private"/>
    <n v="5.33"/>
    <n v="10298"/>
    <n v="11"/>
    <x v="1"/>
  </r>
  <r>
    <s v="Startup_124"/>
    <x v="3"/>
    <n v="2"/>
    <n v="195230000"/>
    <n v="795660000"/>
    <n v="19200000"/>
    <n v="120"/>
    <n v="9.7299999999999998E-2"/>
    <b v="0"/>
    <n v="1999"/>
    <x v="4"/>
    <s v="Private"/>
    <n v="4.08"/>
    <n v="160000"/>
    <n v="26"/>
    <x v="3"/>
  </r>
  <r>
    <s v="Startup_126"/>
    <x v="3"/>
    <n v="2"/>
    <n v="168420000"/>
    <n v="1313480000"/>
    <n v="30940000"/>
    <n v="4981"/>
    <n v="1.67E-2"/>
    <b v="1"/>
    <n v="2000"/>
    <x v="4"/>
    <s v="Private"/>
    <n v="7.8"/>
    <n v="6212"/>
    <n v="25"/>
    <x v="3"/>
  </r>
  <r>
    <s v="Startup_130"/>
    <x v="6"/>
    <n v="5"/>
    <n v="132590000"/>
    <n v="593830000"/>
    <n v="2300000"/>
    <n v="947"/>
    <n v="1.3100000000000001E-2"/>
    <b v="1"/>
    <n v="1996"/>
    <x v="4"/>
    <s v="Private"/>
    <n v="4.4800000000000004"/>
    <n v="2429"/>
    <n v="29"/>
    <x v="6"/>
  </r>
  <r>
    <s v="Startup_134"/>
    <x v="4"/>
    <n v="5"/>
    <n v="161750000"/>
    <n v="1058390000"/>
    <n v="68410000"/>
    <n v="1142"/>
    <n v="4.1000000000000003E-3"/>
    <b v="1"/>
    <n v="2007"/>
    <x v="3"/>
    <s v="Private"/>
    <n v="6.54"/>
    <n v="59904"/>
    <n v="18"/>
    <x v="4"/>
  </r>
  <r>
    <s v="Startup_136"/>
    <x v="3"/>
    <n v="1"/>
    <n v="221490000"/>
    <n v="1156780000"/>
    <n v="98050000"/>
    <n v="4122"/>
    <n v="1.5100000000000001E-2"/>
    <b v="0"/>
    <n v="2005"/>
    <x v="3"/>
    <s v="Private"/>
    <n v="5.22"/>
    <n v="23787"/>
    <n v="20"/>
    <x v="3"/>
  </r>
  <r>
    <s v="Startup_137"/>
    <x v="4"/>
    <n v="5"/>
    <n v="156290000"/>
    <n v="2190100000"/>
    <n v="22820000"/>
    <n v="3425"/>
    <n v="2.2100000000000002E-2"/>
    <b v="1"/>
    <n v="2007"/>
    <x v="4"/>
    <s v="Private"/>
    <n v="14.01"/>
    <n v="6663"/>
    <n v="18"/>
    <x v="4"/>
  </r>
  <r>
    <s v="Startup_138"/>
    <x v="6"/>
    <n v="1"/>
    <n v="128330000"/>
    <n v="1038750000"/>
    <n v="40460000"/>
    <n v="4783"/>
    <n v="6.6799999999999998E-2"/>
    <b v="1"/>
    <n v="2015"/>
    <x v="4"/>
    <s v="Private"/>
    <n v="8.09"/>
    <n v="8459"/>
    <n v="10"/>
    <x v="6"/>
  </r>
  <r>
    <s v="Startup_141"/>
    <x v="2"/>
    <n v="2"/>
    <n v="138850000"/>
    <n v="1038890000"/>
    <n v="54930000"/>
    <n v="2958"/>
    <n v="7.6700000000000004E-2"/>
    <b v="0"/>
    <n v="2001"/>
    <x v="3"/>
    <s v="Private"/>
    <n v="7.48"/>
    <n v="18570"/>
    <n v="24"/>
    <x v="2"/>
  </r>
  <r>
    <s v="Startup_143"/>
    <x v="0"/>
    <n v="2"/>
    <n v="570000"/>
    <n v="2480000"/>
    <n v="22690000"/>
    <n v="4226"/>
    <n v="4.41E-2"/>
    <b v="0"/>
    <n v="1993"/>
    <x v="3"/>
    <s v="Private"/>
    <n v="4.3499999999999996"/>
    <n v="5369"/>
    <n v="32"/>
    <x v="0"/>
  </r>
  <r>
    <s v="Startup_152"/>
    <x v="0"/>
    <n v="1"/>
    <n v="144190000"/>
    <n v="2000020000"/>
    <n v="74950000"/>
    <n v="3239"/>
    <n v="1.3299999999999999E-2"/>
    <b v="1"/>
    <n v="2002"/>
    <x v="3"/>
    <s v="Private"/>
    <n v="13.87"/>
    <n v="23140"/>
    <n v="23"/>
    <x v="0"/>
  </r>
  <r>
    <s v="Startup_159"/>
    <x v="5"/>
    <n v="4"/>
    <n v="219820000"/>
    <n v="2430570000"/>
    <n v="49780000"/>
    <n v="546"/>
    <n v="7.0900000000000005E-2"/>
    <b v="0"/>
    <n v="2005"/>
    <x v="3"/>
    <s v="Private"/>
    <n v="11.06"/>
    <n v="91172"/>
    <n v="20"/>
    <x v="5"/>
  </r>
  <r>
    <s v="Startup_163"/>
    <x v="7"/>
    <n v="5"/>
    <n v="255920000"/>
    <n v="2069710000"/>
    <n v="75870000"/>
    <n v="3368"/>
    <n v="3.1600000000000003E-2"/>
    <b v="1"/>
    <n v="2019"/>
    <x v="4"/>
    <s v="Private"/>
    <n v="8.09"/>
    <n v="22527"/>
    <n v="6"/>
    <x v="7"/>
  </r>
  <r>
    <s v="Startup_165"/>
    <x v="4"/>
    <n v="3"/>
    <n v="176940000"/>
    <n v="1030290000"/>
    <n v="1890000"/>
    <n v="1577"/>
    <n v="1.2699999999999999E-2"/>
    <b v="0"/>
    <n v="2005"/>
    <x v="4"/>
    <s v="Private"/>
    <n v="5.82"/>
    <n v="1198"/>
    <n v="20"/>
    <x v="4"/>
  </r>
  <r>
    <s v="Startup_169"/>
    <x v="7"/>
    <n v="4"/>
    <n v="33290000"/>
    <n v="171160000"/>
    <n v="25620000"/>
    <n v="4748"/>
    <n v="2.3400000000000001E-2"/>
    <b v="1"/>
    <n v="2018"/>
    <x v="3"/>
    <s v="Private"/>
    <n v="5.14"/>
    <n v="5396"/>
    <n v="7"/>
    <x v="7"/>
  </r>
  <r>
    <s v="Startup_173"/>
    <x v="2"/>
    <n v="3"/>
    <n v="239500000"/>
    <n v="2552000000"/>
    <n v="55840000"/>
    <n v="261"/>
    <n v="6.2899999999999998E-2"/>
    <b v="1"/>
    <n v="2002"/>
    <x v="4"/>
    <s v="Private"/>
    <n v="10.66"/>
    <n v="213946"/>
    <n v="23"/>
    <x v="2"/>
  </r>
  <r>
    <s v="Startup_174"/>
    <x v="2"/>
    <n v="3"/>
    <n v="78070000"/>
    <n v="474870000"/>
    <n v="55300000"/>
    <n v="3752"/>
    <n v="3.2300000000000002E-2"/>
    <b v="0"/>
    <n v="2010"/>
    <x v="4"/>
    <s v="Private"/>
    <n v="6.08"/>
    <n v="14739"/>
    <n v="15"/>
    <x v="2"/>
  </r>
  <r>
    <s v="Startup_176"/>
    <x v="7"/>
    <n v="5"/>
    <n v="294710000"/>
    <n v="1090860000"/>
    <n v="34430000"/>
    <n v="2246"/>
    <n v="5.0700000000000002E-2"/>
    <b v="1"/>
    <n v="2018"/>
    <x v="3"/>
    <s v="Private"/>
    <n v="3.7"/>
    <n v="15329"/>
    <n v="7"/>
    <x v="7"/>
  </r>
  <r>
    <s v="Startup_178"/>
    <x v="0"/>
    <n v="2"/>
    <n v="180440000"/>
    <n v="1135780000"/>
    <n v="39130000"/>
    <n v="3611"/>
    <n v="3.2000000000000001E-2"/>
    <b v="0"/>
    <n v="2014"/>
    <x v="3"/>
    <s v="Private"/>
    <n v="6.29"/>
    <n v="10836"/>
    <n v="11"/>
    <x v="0"/>
  </r>
  <r>
    <s v="Startup_183"/>
    <x v="6"/>
    <n v="1"/>
    <n v="120770000"/>
    <n v="1412310000"/>
    <n v="9430000"/>
    <n v="1386"/>
    <n v="2.5499999999999998E-2"/>
    <b v="1"/>
    <n v="2005"/>
    <x v="3"/>
    <s v="Private"/>
    <n v="11.69"/>
    <n v="6804"/>
    <n v="20"/>
    <x v="6"/>
  </r>
  <r>
    <s v="Startup_185"/>
    <x v="4"/>
    <n v="5"/>
    <n v="69560000"/>
    <n v="493390000"/>
    <n v="19640000"/>
    <n v="3431"/>
    <n v="1.95E-2"/>
    <b v="0"/>
    <n v="1994"/>
    <x v="3"/>
    <s v="Private"/>
    <n v="7.09"/>
    <n v="5724"/>
    <n v="31"/>
    <x v="4"/>
  </r>
  <r>
    <s v="Startup_190"/>
    <x v="3"/>
    <n v="3"/>
    <n v="11500000"/>
    <n v="141120000"/>
    <n v="27720000"/>
    <n v="3761"/>
    <n v="9.3600000000000003E-2"/>
    <b v="1"/>
    <n v="2018"/>
    <x v="4"/>
    <s v="Private"/>
    <n v="12.27"/>
    <n v="7370"/>
    <n v="7"/>
    <x v="3"/>
  </r>
  <r>
    <s v="Startup_192"/>
    <x v="2"/>
    <n v="5"/>
    <n v="247950000"/>
    <n v="2663850000"/>
    <n v="64300000"/>
    <n v="2097"/>
    <n v="8.7900000000000006E-2"/>
    <b v="0"/>
    <n v="1998"/>
    <x v="4"/>
    <s v="Private"/>
    <n v="10.74"/>
    <n v="30663"/>
    <n v="27"/>
    <x v="2"/>
  </r>
  <r>
    <s v="Startup_194"/>
    <x v="5"/>
    <n v="4"/>
    <n v="189120000"/>
    <n v="1477830000"/>
    <n v="89710000"/>
    <n v="2135"/>
    <n v="2.5499999999999998E-2"/>
    <b v="0"/>
    <n v="1995"/>
    <x v="3"/>
    <s v="Private"/>
    <n v="7.81"/>
    <n v="42019"/>
    <n v="30"/>
    <x v="5"/>
  </r>
  <r>
    <s v="Startup_195"/>
    <x v="3"/>
    <n v="2"/>
    <n v="65290000"/>
    <n v="483370000"/>
    <n v="52070000"/>
    <n v="362"/>
    <n v="3.6200000000000003E-2"/>
    <b v="0"/>
    <n v="2004"/>
    <x v="3"/>
    <s v="Private"/>
    <n v="7.4"/>
    <n v="143840"/>
    <n v="21"/>
    <x v="3"/>
  </r>
  <r>
    <s v="Startup_196"/>
    <x v="5"/>
    <n v="1"/>
    <n v="155720000"/>
    <n v="1109150000"/>
    <n v="44820000"/>
    <n v="2427"/>
    <n v="9.2999999999999992E-3"/>
    <b v="0"/>
    <n v="2009"/>
    <x v="4"/>
    <s v="Private"/>
    <n v="7.12"/>
    <n v="18467"/>
    <n v="16"/>
    <x v="5"/>
  </r>
  <r>
    <s v="Startup_199"/>
    <x v="3"/>
    <n v="2"/>
    <n v="78440000"/>
    <n v="1018340000"/>
    <n v="61390000"/>
    <n v="1502"/>
    <n v="8.0999999999999996E-3"/>
    <b v="0"/>
    <n v="1993"/>
    <x v="3"/>
    <s v="Private"/>
    <n v="12.98"/>
    <n v="40872"/>
    <n v="32"/>
    <x v="3"/>
  </r>
  <r>
    <s v="Startup_206"/>
    <x v="7"/>
    <n v="3"/>
    <n v="224490000"/>
    <n v="1295300000"/>
    <n v="36430000"/>
    <n v="4732"/>
    <n v="7.8299999999999995E-2"/>
    <b v="0"/>
    <n v="1993"/>
    <x v="4"/>
    <s v="Private"/>
    <n v="5.77"/>
    <n v="7699"/>
    <n v="32"/>
    <x v="7"/>
  </r>
  <r>
    <s v="Startup_207"/>
    <x v="5"/>
    <n v="5"/>
    <n v="10940000"/>
    <n v="92800000"/>
    <n v="73290000"/>
    <n v="3970"/>
    <n v="7.8700000000000006E-2"/>
    <b v="0"/>
    <n v="2018"/>
    <x v="4"/>
    <s v="Private"/>
    <n v="8.48"/>
    <n v="18461"/>
    <n v="7"/>
    <x v="5"/>
  </r>
  <r>
    <s v="Startup_210"/>
    <x v="0"/>
    <n v="1"/>
    <n v="137500000"/>
    <n v="1036990000"/>
    <n v="79880000"/>
    <n v="2785"/>
    <n v="3.32E-2"/>
    <b v="0"/>
    <n v="2020"/>
    <x v="4"/>
    <s v="Private"/>
    <n v="7.54"/>
    <n v="28682"/>
    <n v="5"/>
    <x v="0"/>
  </r>
  <r>
    <s v="Startup_215"/>
    <x v="0"/>
    <n v="1"/>
    <n v="255730000"/>
    <n v="2548530000"/>
    <n v="32030000"/>
    <n v="2833"/>
    <n v="9.7699999999999995E-2"/>
    <b v="1"/>
    <n v="2020"/>
    <x v="4"/>
    <s v="Private"/>
    <n v="9.9700000000000006"/>
    <n v="11306"/>
    <n v="5"/>
    <x v="0"/>
  </r>
  <r>
    <s v="Startup_217"/>
    <x v="1"/>
    <n v="3"/>
    <n v="99050000"/>
    <n v="1440190000"/>
    <n v="48590000"/>
    <n v="3863"/>
    <n v="5.5199999999999999E-2"/>
    <b v="1"/>
    <n v="2020"/>
    <x v="3"/>
    <s v="Private"/>
    <n v="14.54"/>
    <n v="12578"/>
    <n v="5"/>
    <x v="1"/>
  </r>
  <r>
    <s v="Startup_219"/>
    <x v="0"/>
    <n v="4"/>
    <n v="220700000"/>
    <n v="2661210000"/>
    <n v="72550000"/>
    <n v="2389"/>
    <n v="5.6000000000000001E-2"/>
    <b v="0"/>
    <n v="2020"/>
    <x v="4"/>
    <s v="Private"/>
    <n v="12.06"/>
    <n v="30368"/>
    <n v="5"/>
    <x v="0"/>
  </r>
  <r>
    <s v="Startup_220"/>
    <x v="5"/>
    <n v="2"/>
    <n v="84780000"/>
    <n v="427780000"/>
    <n v="32370000"/>
    <n v="187"/>
    <n v="1.9800000000000002E-2"/>
    <b v="1"/>
    <n v="2021"/>
    <x v="4"/>
    <s v="Private"/>
    <n v="5.05"/>
    <n v="173102"/>
    <n v="4"/>
    <x v="5"/>
  </r>
  <r>
    <s v="Startup_223"/>
    <x v="5"/>
    <n v="3"/>
    <n v="208870000"/>
    <n v="2686420000"/>
    <n v="65650000"/>
    <n v="664"/>
    <n v="5.2499999999999998E-2"/>
    <b v="1"/>
    <n v="1991"/>
    <x v="3"/>
    <s v="Private"/>
    <n v="12.86"/>
    <n v="98870"/>
    <n v="34"/>
    <x v="5"/>
  </r>
  <r>
    <s v="Startup_224"/>
    <x v="4"/>
    <n v="4"/>
    <n v="15110000"/>
    <n v="45550000"/>
    <n v="13070000"/>
    <n v="164"/>
    <n v="8.3000000000000001E-3"/>
    <b v="1"/>
    <n v="1991"/>
    <x v="4"/>
    <s v="Private"/>
    <n v="3.01"/>
    <n v="79695"/>
    <n v="34"/>
    <x v="4"/>
  </r>
  <r>
    <s v="Startup_225"/>
    <x v="4"/>
    <n v="1"/>
    <n v="160010000"/>
    <n v="1057700000"/>
    <n v="68720000"/>
    <n v="3958"/>
    <n v="6.0900000000000003E-2"/>
    <b v="1"/>
    <n v="2013"/>
    <x v="4"/>
    <s v="Private"/>
    <n v="6.61"/>
    <n v="17362"/>
    <n v="12"/>
    <x v="4"/>
  </r>
  <r>
    <s v="Startup_238"/>
    <x v="7"/>
    <n v="4"/>
    <n v="220310000"/>
    <n v="2743920000"/>
    <n v="90140000"/>
    <n v="3172"/>
    <n v="4.6300000000000001E-2"/>
    <b v="0"/>
    <n v="2001"/>
    <x v="3"/>
    <s v="Private"/>
    <n v="12.45"/>
    <n v="28417"/>
    <n v="24"/>
    <x v="7"/>
  </r>
  <r>
    <s v="Startup_240"/>
    <x v="5"/>
    <n v="4"/>
    <n v="260510000"/>
    <n v="2683730000"/>
    <n v="31470000"/>
    <n v="2346"/>
    <n v="5.5800000000000002E-2"/>
    <b v="0"/>
    <n v="2006"/>
    <x v="3"/>
    <s v="Private"/>
    <n v="10.3"/>
    <n v="13414"/>
    <n v="19"/>
    <x v="5"/>
  </r>
  <r>
    <s v="Startup_247"/>
    <x v="1"/>
    <n v="4"/>
    <n v="32200000"/>
    <n v="243780000"/>
    <n v="8810000"/>
    <n v="2629"/>
    <n v="5.8799999999999998E-2"/>
    <b v="0"/>
    <n v="1996"/>
    <x v="4"/>
    <s v="Private"/>
    <n v="7.57"/>
    <n v="3351"/>
    <n v="29"/>
    <x v="1"/>
  </r>
  <r>
    <s v="Startup_251"/>
    <x v="0"/>
    <n v="1"/>
    <n v="288410000"/>
    <n v="3721480000"/>
    <n v="73990000"/>
    <n v="2193"/>
    <n v="1.8200000000000001E-2"/>
    <b v="0"/>
    <n v="2008"/>
    <x v="4"/>
    <s v="Private"/>
    <n v="12.9"/>
    <n v="33739"/>
    <n v="17"/>
    <x v="0"/>
  </r>
  <r>
    <s v="Startup_253"/>
    <x v="3"/>
    <n v="2"/>
    <n v="263780000"/>
    <n v="3774330000"/>
    <n v="61420000"/>
    <n v="2229"/>
    <n v="4.5499999999999999E-2"/>
    <b v="0"/>
    <n v="2000"/>
    <x v="4"/>
    <s v="Private"/>
    <n v="14.31"/>
    <n v="27555"/>
    <n v="25"/>
    <x v="3"/>
  </r>
  <r>
    <s v="Startup_255"/>
    <x v="3"/>
    <n v="2"/>
    <n v="246070000"/>
    <n v="1215870000"/>
    <n v="57770000"/>
    <n v="2676"/>
    <n v="2.2100000000000002E-2"/>
    <b v="0"/>
    <n v="1992"/>
    <x v="4"/>
    <s v="Private"/>
    <n v="4.9400000000000004"/>
    <n v="21588"/>
    <n v="33"/>
    <x v="3"/>
  </r>
  <r>
    <s v="Startup_257"/>
    <x v="3"/>
    <n v="2"/>
    <n v="272660000"/>
    <n v="2697980000"/>
    <n v="80640000"/>
    <n v="2453"/>
    <n v="1.6999999999999999E-3"/>
    <b v="1"/>
    <n v="1992"/>
    <x v="4"/>
    <s v="Private"/>
    <n v="9.9"/>
    <n v="32874"/>
    <n v="33"/>
    <x v="3"/>
  </r>
  <r>
    <s v="Startup_270"/>
    <x v="4"/>
    <n v="4"/>
    <n v="38970000"/>
    <n v="267740000"/>
    <n v="7800000"/>
    <n v="3528"/>
    <n v="7.4200000000000002E-2"/>
    <b v="1"/>
    <n v="2005"/>
    <x v="4"/>
    <s v="Private"/>
    <n v="6.87"/>
    <n v="2211"/>
    <n v="20"/>
    <x v="4"/>
  </r>
  <r>
    <s v="Startup_275"/>
    <x v="3"/>
    <n v="1"/>
    <n v="117950000"/>
    <n v="1164930000"/>
    <n v="6940000"/>
    <n v="1321"/>
    <n v="3.3399999999999999E-2"/>
    <b v="0"/>
    <n v="2021"/>
    <x v="4"/>
    <s v="Private"/>
    <n v="9.8800000000000008"/>
    <n v="5254"/>
    <n v="4"/>
    <x v="3"/>
  </r>
  <r>
    <s v="Startup_276"/>
    <x v="7"/>
    <n v="2"/>
    <n v="54260000"/>
    <n v="770100000"/>
    <n v="76340000"/>
    <n v="2862"/>
    <n v="8.9099999999999999E-2"/>
    <b v="0"/>
    <n v="2015"/>
    <x v="4"/>
    <s v="Private"/>
    <n v="14.19"/>
    <n v="26674"/>
    <n v="10"/>
    <x v="7"/>
  </r>
  <r>
    <s v="Startup_282"/>
    <x v="1"/>
    <n v="5"/>
    <n v="50330000"/>
    <n v="693500000"/>
    <n v="6000000"/>
    <n v="1524"/>
    <n v="4.4400000000000002E-2"/>
    <b v="1"/>
    <n v="2015"/>
    <x v="4"/>
    <s v="Private"/>
    <n v="13.78"/>
    <n v="3937"/>
    <n v="10"/>
    <x v="1"/>
  </r>
  <r>
    <s v="Startup_285"/>
    <x v="3"/>
    <n v="5"/>
    <n v="142340000"/>
    <n v="2054470000"/>
    <n v="87440000"/>
    <n v="896"/>
    <n v="5.5100000000000003E-2"/>
    <b v="0"/>
    <n v="2021"/>
    <x v="3"/>
    <s v="Private"/>
    <n v="14.43"/>
    <n v="97589"/>
    <n v="4"/>
    <x v="3"/>
  </r>
  <r>
    <s v="Startup_301"/>
    <x v="4"/>
    <n v="5"/>
    <n v="48100000"/>
    <n v="154510000"/>
    <n v="70800000"/>
    <n v="1777"/>
    <n v="6.0100000000000001E-2"/>
    <b v="1"/>
    <n v="2010"/>
    <x v="3"/>
    <s v="Private"/>
    <n v="3.21"/>
    <n v="39842"/>
    <n v="15"/>
    <x v="4"/>
  </r>
  <r>
    <s v="Startup_304"/>
    <x v="4"/>
    <n v="1"/>
    <n v="31110000"/>
    <n v="237600000"/>
    <n v="69960000"/>
    <n v="1756"/>
    <n v="3.4000000000000002E-2"/>
    <b v="0"/>
    <n v="2007"/>
    <x v="3"/>
    <s v="Private"/>
    <n v="7.64"/>
    <n v="39841"/>
    <n v="18"/>
    <x v="4"/>
  </r>
  <r>
    <s v="Startup_309"/>
    <x v="2"/>
    <n v="3"/>
    <n v="252060000"/>
    <n v="3037590000"/>
    <n v="62860000"/>
    <n v="4922"/>
    <n v="7.8899999999999998E-2"/>
    <b v="0"/>
    <n v="1995"/>
    <x v="3"/>
    <s v="Private"/>
    <n v="12.05"/>
    <n v="12771"/>
    <n v="30"/>
    <x v="2"/>
  </r>
  <r>
    <s v="Startup_316"/>
    <x v="7"/>
    <n v="1"/>
    <n v="219520000"/>
    <n v="1357650000"/>
    <n v="26410000"/>
    <n v="2101"/>
    <n v="4.3299999999999998E-2"/>
    <b v="1"/>
    <n v="2009"/>
    <x v="3"/>
    <s v="Private"/>
    <n v="6.18"/>
    <n v="12570"/>
    <n v="16"/>
    <x v="7"/>
  </r>
  <r>
    <s v="Startup_321"/>
    <x v="6"/>
    <n v="1"/>
    <n v="132970000"/>
    <n v="764140000"/>
    <n v="7520000"/>
    <n v="3662"/>
    <n v="9.1600000000000001E-2"/>
    <b v="1"/>
    <n v="2005"/>
    <x v="3"/>
    <s v="Private"/>
    <n v="5.75"/>
    <n v="2054"/>
    <n v="20"/>
    <x v="6"/>
  </r>
  <r>
    <s v="Startup_327"/>
    <x v="1"/>
    <n v="4"/>
    <n v="260500000"/>
    <n v="3045720000"/>
    <n v="87740000"/>
    <n v="3846"/>
    <n v="6.4199999999999993E-2"/>
    <b v="1"/>
    <n v="2003"/>
    <x v="4"/>
    <s v="Private"/>
    <n v="11.69"/>
    <n v="22813"/>
    <n v="22"/>
    <x v="1"/>
  </r>
  <r>
    <s v="Startup_330"/>
    <x v="0"/>
    <n v="5"/>
    <n v="141720000"/>
    <n v="1537510000"/>
    <n v="98900000"/>
    <n v="679"/>
    <n v="5.3999999999999999E-2"/>
    <b v="1"/>
    <n v="2005"/>
    <x v="4"/>
    <s v="Private"/>
    <n v="10.85"/>
    <n v="145655"/>
    <n v="20"/>
    <x v="0"/>
  </r>
  <r>
    <s v="Startup_331"/>
    <x v="7"/>
    <n v="3"/>
    <n v="163200000"/>
    <n v="1183340000"/>
    <n v="62650000"/>
    <n v="391"/>
    <n v="1.5299999999999999E-2"/>
    <b v="0"/>
    <n v="2006"/>
    <x v="4"/>
    <s v="Private"/>
    <n v="7.25"/>
    <n v="160230"/>
    <n v="19"/>
    <x v="7"/>
  </r>
  <r>
    <s v="Startup_338"/>
    <x v="7"/>
    <n v="5"/>
    <n v="5850000"/>
    <n v="26940000"/>
    <n v="57380000"/>
    <n v="4641"/>
    <n v="5.9400000000000001E-2"/>
    <b v="1"/>
    <n v="1994"/>
    <x v="3"/>
    <s v="Private"/>
    <n v="4.6100000000000003"/>
    <n v="12364"/>
    <n v="31"/>
    <x v="7"/>
  </r>
  <r>
    <s v="Startup_343"/>
    <x v="4"/>
    <n v="5"/>
    <n v="56040000"/>
    <n v="295690000"/>
    <n v="73780000"/>
    <n v="2282"/>
    <n v="2.8799999999999999E-2"/>
    <b v="1"/>
    <n v="2022"/>
    <x v="3"/>
    <s v="Private"/>
    <n v="5.28"/>
    <n v="32331"/>
    <n v="3"/>
    <x v="4"/>
  </r>
  <r>
    <s v="Startup_345"/>
    <x v="7"/>
    <n v="3"/>
    <n v="870000"/>
    <n v="5990000"/>
    <n v="3360000"/>
    <n v="3928"/>
    <n v="2.0999999999999999E-3"/>
    <b v="0"/>
    <n v="2006"/>
    <x v="3"/>
    <s v="Private"/>
    <n v="6.89"/>
    <n v="855"/>
    <n v="19"/>
    <x v="7"/>
  </r>
  <r>
    <s v="Startup_354"/>
    <x v="1"/>
    <n v="4"/>
    <n v="177280000"/>
    <n v="1594100000"/>
    <n v="13840000"/>
    <n v="3871"/>
    <n v="8.2799999999999999E-2"/>
    <b v="0"/>
    <n v="2018"/>
    <x v="3"/>
    <s v="Private"/>
    <n v="8.99"/>
    <n v="3575"/>
    <n v="7"/>
    <x v="1"/>
  </r>
  <r>
    <s v="Startup_363"/>
    <x v="3"/>
    <n v="1"/>
    <n v="197270000"/>
    <n v="2626610000"/>
    <n v="13260000"/>
    <n v="37"/>
    <n v="8.6E-3"/>
    <b v="0"/>
    <n v="1997"/>
    <x v="4"/>
    <s v="Private"/>
    <n v="13.31"/>
    <n v="358378"/>
    <n v="28"/>
    <x v="3"/>
  </r>
  <r>
    <s v="Startup_370"/>
    <x v="2"/>
    <n v="4"/>
    <n v="31290000"/>
    <n v="397590000"/>
    <n v="98390000"/>
    <n v="4584"/>
    <n v="3.7999999999999999E-2"/>
    <b v="0"/>
    <n v="2000"/>
    <x v="4"/>
    <s v="Private"/>
    <n v="12.71"/>
    <n v="21464"/>
    <n v="25"/>
    <x v="2"/>
  </r>
  <r>
    <s v="Startup_372"/>
    <x v="0"/>
    <n v="5"/>
    <n v="6000000"/>
    <n v="38110000"/>
    <n v="40760000"/>
    <n v="3723"/>
    <n v="2.3900000000000001E-2"/>
    <b v="0"/>
    <n v="2015"/>
    <x v="3"/>
    <s v="Private"/>
    <n v="6.35"/>
    <n v="10948"/>
    <n v="10"/>
    <x v="0"/>
  </r>
  <r>
    <s v="Startup_380"/>
    <x v="7"/>
    <n v="1"/>
    <n v="264820000"/>
    <n v="1515720000"/>
    <n v="45100000"/>
    <n v="3121"/>
    <n v="8.8599999999999998E-2"/>
    <b v="0"/>
    <n v="2018"/>
    <x v="4"/>
    <s v="Private"/>
    <n v="5.72"/>
    <n v="14450"/>
    <n v="7"/>
    <x v="7"/>
  </r>
  <r>
    <s v="Startup_382"/>
    <x v="2"/>
    <n v="1"/>
    <n v="247440000"/>
    <n v="2080340000"/>
    <n v="62290000"/>
    <n v="648"/>
    <n v="4.6699999999999998E-2"/>
    <b v="0"/>
    <n v="1995"/>
    <x v="4"/>
    <s v="Private"/>
    <n v="8.41"/>
    <n v="96127"/>
    <n v="30"/>
    <x v="2"/>
  </r>
  <r>
    <s v="Startup_385"/>
    <x v="0"/>
    <n v="2"/>
    <n v="293250000"/>
    <n v="4357490000"/>
    <n v="47480000"/>
    <n v="4001"/>
    <n v="3.0300000000000001E-2"/>
    <b v="0"/>
    <n v="2022"/>
    <x v="4"/>
    <s v="Private"/>
    <n v="14.86"/>
    <n v="11867"/>
    <n v="3"/>
    <x v="0"/>
  </r>
  <r>
    <s v="Startup_387"/>
    <x v="4"/>
    <n v="1"/>
    <n v="208110000"/>
    <n v="743780000"/>
    <n v="53750000"/>
    <n v="2209"/>
    <n v="4.1700000000000001E-2"/>
    <b v="0"/>
    <n v="1994"/>
    <x v="3"/>
    <s v="Private"/>
    <n v="3.57"/>
    <n v="24332"/>
    <n v="31"/>
    <x v="4"/>
  </r>
  <r>
    <s v="Startup_388"/>
    <x v="2"/>
    <n v="1"/>
    <n v="246520000"/>
    <n v="852040000"/>
    <n v="85430000"/>
    <n v="2662"/>
    <n v="7.2499999999999995E-2"/>
    <b v="0"/>
    <n v="2016"/>
    <x v="3"/>
    <s v="Private"/>
    <n v="3.46"/>
    <n v="32092"/>
    <n v="9"/>
    <x v="2"/>
  </r>
  <r>
    <s v="Startup_394"/>
    <x v="7"/>
    <n v="2"/>
    <n v="178640000"/>
    <n v="1626150000"/>
    <n v="43910000"/>
    <n v="635"/>
    <n v="5.3699999999999998E-2"/>
    <b v="1"/>
    <n v="2008"/>
    <x v="4"/>
    <s v="Private"/>
    <n v="9.1"/>
    <n v="69150"/>
    <n v="17"/>
    <x v="7"/>
  </r>
  <r>
    <s v="Startup_397"/>
    <x v="2"/>
    <n v="5"/>
    <n v="90000000"/>
    <n v="1340920000"/>
    <n v="4530000"/>
    <n v="2660"/>
    <n v="5.4600000000000003E-2"/>
    <b v="0"/>
    <n v="2002"/>
    <x v="3"/>
    <s v="Private"/>
    <n v="14.9"/>
    <n v="1703"/>
    <n v="23"/>
    <x v="2"/>
  </r>
  <r>
    <s v="Startup_405"/>
    <x v="1"/>
    <n v="2"/>
    <n v="166120000"/>
    <n v="635330000"/>
    <n v="3060000"/>
    <n v="3275"/>
    <n v="1.2699999999999999E-2"/>
    <b v="0"/>
    <n v="2015"/>
    <x v="4"/>
    <s v="Private"/>
    <n v="3.82"/>
    <n v="934"/>
    <n v="10"/>
    <x v="1"/>
  </r>
  <r>
    <s v="Startup_407"/>
    <x v="3"/>
    <n v="3"/>
    <n v="235260000"/>
    <n v="939020000"/>
    <n v="4580000"/>
    <n v="3517"/>
    <n v="3.1800000000000002E-2"/>
    <b v="0"/>
    <n v="2002"/>
    <x v="3"/>
    <s v="Private"/>
    <n v="3.99"/>
    <n v="1302"/>
    <n v="23"/>
    <x v="3"/>
  </r>
  <r>
    <s v="Startup_408"/>
    <x v="1"/>
    <n v="2"/>
    <n v="144530000"/>
    <n v="1326190000"/>
    <n v="45110000"/>
    <n v="30"/>
    <n v="1.7500000000000002E-2"/>
    <b v="1"/>
    <n v="2017"/>
    <x v="4"/>
    <s v="Private"/>
    <n v="9.18"/>
    <n v="1503667"/>
    <n v="8"/>
    <x v="1"/>
  </r>
  <r>
    <s v="Startup_409"/>
    <x v="6"/>
    <n v="3"/>
    <n v="12710000"/>
    <n v="175230000"/>
    <n v="92950000"/>
    <n v="465"/>
    <n v="2.5100000000000001E-2"/>
    <b v="0"/>
    <n v="1998"/>
    <x v="4"/>
    <s v="Private"/>
    <n v="13.79"/>
    <n v="199892"/>
    <n v="27"/>
    <x v="6"/>
  </r>
  <r>
    <s v="Startup_414"/>
    <x v="3"/>
    <n v="3"/>
    <n v="195260000"/>
    <n v="610210000"/>
    <n v="67130000"/>
    <n v="495"/>
    <n v="9.8599999999999993E-2"/>
    <b v="0"/>
    <n v="2020"/>
    <x v="4"/>
    <s v="Private"/>
    <n v="3.13"/>
    <n v="135616"/>
    <n v="5"/>
    <x v="3"/>
  </r>
  <r>
    <s v="Startup_415"/>
    <x v="5"/>
    <n v="3"/>
    <n v="144040000"/>
    <n v="873600000"/>
    <n v="25890000"/>
    <n v="1077"/>
    <n v="4.2099999999999999E-2"/>
    <b v="0"/>
    <n v="2003"/>
    <x v="4"/>
    <s v="Private"/>
    <n v="6.06"/>
    <n v="24039"/>
    <n v="22"/>
    <x v="5"/>
  </r>
  <r>
    <s v="Startup_422"/>
    <x v="6"/>
    <n v="3"/>
    <n v="13580000"/>
    <n v="61150000"/>
    <n v="310000"/>
    <n v="4786"/>
    <n v="3.3399999999999999E-2"/>
    <b v="0"/>
    <n v="2017"/>
    <x v="3"/>
    <s v="Private"/>
    <n v="4.5"/>
    <n v="65"/>
    <n v="8"/>
    <x v="6"/>
  </r>
  <r>
    <s v="Startup_423"/>
    <x v="4"/>
    <n v="2"/>
    <n v="48920000"/>
    <n v="425210000"/>
    <n v="71790000"/>
    <n v="3318"/>
    <n v="5.5100000000000003E-2"/>
    <b v="1"/>
    <n v="1990"/>
    <x v="4"/>
    <s v="Private"/>
    <n v="8.69"/>
    <n v="21637"/>
    <n v="35"/>
    <x v="4"/>
  </r>
  <r>
    <s v="Startup_424"/>
    <x v="6"/>
    <n v="4"/>
    <n v="6750000"/>
    <n v="29480000"/>
    <n v="82980000"/>
    <n v="2846"/>
    <n v="5.8000000000000003E-2"/>
    <b v="1"/>
    <n v="1997"/>
    <x v="4"/>
    <s v="Private"/>
    <n v="4.37"/>
    <n v="29157"/>
    <n v="28"/>
    <x v="6"/>
  </r>
  <r>
    <s v="Startup_427"/>
    <x v="7"/>
    <n v="1"/>
    <n v="162970000"/>
    <n v="1507350000"/>
    <n v="25740000"/>
    <n v="2300"/>
    <n v="7.0000000000000007E-2"/>
    <b v="0"/>
    <n v="1993"/>
    <x v="4"/>
    <s v="Private"/>
    <n v="9.25"/>
    <n v="11191"/>
    <n v="32"/>
    <x v="7"/>
  </r>
  <r>
    <s v="Startup_429"/>
    <x v="2"/>
    <n v="4"/>
    <n v="24920000"/>
    <n v="121600000"/>
    <n v="80060000"/>
    <n v="2998"/>
    <n v="9.3399999999999997E-2"/>
    <b v="0"/>
    <n v="2001"/>
    <x v="4"/>
    <s v="Private"/>
    <n v="4.88"/>
    <n v="26704"/>
    <n v="24"/>
    <x v="2"/>
  </r>
  <r>
    <s v="Startup_430"/>
    <x v="4"/>
    <n v="1"/>
    <n v="121280000"/>
    <n v="427490000"/>
    <n v="66300000"/>
    <n v="2474"/>
    <n v="4.4499999999999998E-2"/>
    <b v="0"/>
    <n v="2015"/>
    <x v="3"/>
    <s v="Private"/>
    <n v="3.52"/>
    <n v="26799"/>
    <n v="10"/>
    <x v="4"/>
  </r>
  <r>
    <s v="Startup_432"/>
    <x v="5"/>
    <n v="4"/>
    <n v="125810000"/>
    <n v="1281050000"/>
    <n v="59670000"/>
    <n v="3814"/>
    <n v="5.1700000000000003E-2"/>
    <b v="1"/>
    <n v="2013"/>
    <x v="4"/>
    <s v="Private"/>
    <n v="10.18"/>
    <n v="15645"/>
    <n v="12"/>
    <x v="5"/>
  </r>
  <r>
    <s v="Startup_438"/>
    <x v="7"/>
    <n v="3"/>
    <n v="253950000"/>
    <n v="1596200000"/>
    <n v="41330000"/>
    <n v="2354"/>
    <n v="7.7899999999999997E-2"/>
    <b v="0"/>
    <n v="2021"/>
    <x v="3"/>
    <s v="Private"/>
    <n v="6.29"/>
    <n v="17557"/>
    <n v="4"/>
    <x v="7"/>
  </r>
  <r>
    <s v="Startup_441"/>
    <x v="5"/>
    <n v="5"/>
    <n v="230430000"/>
    <n v="2062940000"/>
    <n v="88820000"/>
    <n v="1762"/>
    <n v="6.7699999999999996E-2"/>
    <b v="0"/>
    <n v="2017"/>
    <x v="4"/>
    <s v="Private"/>
    <n v="8.9499999999999993"/>
    <n v="50409"/>
    <n v="8"/>
    <x v="5"/>
  </r>
  <r>
    <s v="Startup_446"/>
    <x v="6"/>
    <n v="2"/>
    <n v="9300000"/>
    <n v="126030000"/>
    <n v="15520000"/>
    <n v="3311"/>
    <n v="8.8300000000000003E-2"/>
    <b v="0"/>
    <n v="2014"/>
    <x v="3"/>
    <s v="Private"/>
    <n v="13.55"/>
    <n v="4687"/>
    <n v="11"/>
    <x v="6"/>
  </r>
  <r>
    <s v="Startup_447"/>
    <x v="7"/>
    <n v="1"/>
    <n v="118960000"/>
    <n v="725800000"/>
    <n v="17270000"/>
    <n v="624"/>
    <n v="7.3400000000000007E-2"/>
    <b v="0"/>
    <n v="2018"/>
    <x v="4"/>
    <s v="Private"/>
    <n v="6.1"/>
    <n v="27676"/>
    <n v="7"/>
    <x v="7"/>
  </r>
  <r>
    <s v="Startup_453"/>
    <x v="7"/>
    <n v="2"/>
    <n v="85510000"/>
    <n v="828910000"/>
    <n v="82020000"/>
    <n v="3568"/>
    <n v="1.3599999999999999E-2"/>
    <b v="0"/>
    <n v="2017"/>
    <x v="3"/>
    <s v="Private"/>
    <n v="9.69"/>
    <n v="22988"/>
    <n v="8"/>
    <x v="7"/>
  </r>
  <r>
    <s v="Startup_459"/>
    <x v="3"/>
    <n v="2"/>
    <n v="232910000"/>
    <n v="2206750000"/>
    <n v="91020000"/>
    <n v="2748"/>
    <n v="4.9000000000000002E-2"/>
    <b v="0"/>
    <n v="2004"/>
    <x v="3"/>
    <s v="Private"/>
    <n v="9.4700000000000006"/>
    <n v="33122"/>
    <n v="21"/>
    <x v="3"/>
  </r>
  <r>
    <s v="Startup_460"/>
    <x v="6"/>
    <n v="2"/>
    <n v="121890000"/>
    <n v="1430420000"/>
    <n v="80820000"/>
    <n v="2498"/>
    <n v="2.3E-3"/>
    <b v="1"/>
    <n v="2014"/>
    <x v="4"/>
    <s v="Private"/>
    <n v="11.74"/>
    <n v="32354"/>
    <n v="11"/>
    <x v="6"/>
  </r>
  <r>
    <s v="Startup_465"/>
    <x v="6"/>
    <n v="4"/>
    <n v="124200000"/>
    <n v="1100500000"/>
    <n v="38800000"/>
    <n v="1288"/>
    <n v="2.1600000000000001E-2"/>
    <b v="0"/>
    <n v="2006"/>
    <x v="3"/>
    <s v="Private"/>
    <n v="8.86"/>
    <n v="30124"/>
    <n v="19"/>
    <x v="6"/>
  </r>
  <r>
    <s v="Startup_470"/>
    <x v="1"/>
    <n v="3"/>
    <n v="178080000"/>
    <n v="2122910000"/>
    <n v="86190000"/>
    <n v="3430"/>
    <n v="8.4900000000000003E-2"/>
    <b v="1"/>
    <n v="2016"/>
    <x v="3"/>
    <s v="Private"/>
    <n v="11.92"/>
    <n v="25128"/>
    <n v="9"/>
    <x v="1"/>
  </r>
  <r>
    <s v="Startup_484"/>
    <x v="7"/>
    <n v="5"/>
    <n v="265170000"/>
    <n v="1412680000"/>
    <n v="51220000"/>
    <n v="4287"/>
    <n v="3.8100000000000002E-2"/>
    <b v="0"/>
    <n v="2008"/>
    <x v="3"/>
    <s v="Private"/>
    <n v="5.33"/>
    <n v="11948"/>
    <n v="17"/>
    <x v="7"/>
  </r>
  <r>
    <s v="Startup_488"/>
    <x v="5"/>
    <n v="1"/>
    <n v="200980000"/>
    <n v="2393310000"/>
    <n v="76210000"/>
    <n v="90"/>
    <n v="9.2999999999999999E-2"/>
    <b v="1"/>
    <n v="2007"/>
    <x v="4"/>
    <s v="Private"/>
    <n v="11.91"/>
    <n v="846778"/>
    <n v="18"/>
    <x v="5"/>
  </r>
  <r>
    <s v="Startup_497"/>
    <x v="4"/>
    <n v="2"/>
    <n v="107340000"/>
    <n v="1394580000"/>
    <n v="10220000"/>
    <n v="2223"/>
    <n v="5.8500000000000003E-2"/>
    <b v="0"/>
    <n v="2019"/>
    <x v="3"/>
    <s v="Private"/>
    <n v="12.99"/>
    <n v="4597"/>
    <n v="6"/>
    <x v="4"/>
  </r>
  <r>
    <s v="Startup_5"/>
    <x v="6"/>
    <n v="4"/>
    <n v="249280000"/>
    <n v="850110000"/>
    <n v="50250000"/>
    <n v="1905"/>
    <n v="4.0899999999999999E-2"/>
    <b v="0"/>
    <n v="1997"/>
    <x v="2"/>
    <s v="Acquired"/>
    <n v="3.41"/>
    <n v="26378"/>
    <n v="28"/>
    <x v="6"/>
  </r>
  <r>
    <s v="Startup_9"/>
    <x v="0"/>
    <n v="5"/>
    <n v="258390000"/>
    <n v="935470000"/>
    <n v="78060000"/>
    <n v="447"/>
    <n v="1.6199999999999999E-2"/>
    <b v="0"/>
    <n v="2020"/>
    <x v="1"/>
    <s v="Acquired"/>
    <n v="3.62"/>
    <n v="174631"/>
    <n v="5"/>
    <x v="0"/>
  </r>
  <r>
    <s v="Startup_13"/>
    <x v="6"/>
    <n v="3"/>
    <n v="34710000"/>
    <n v="141020000"/>
    <n v="290000"/>
    <n v="4463"/>
    <n v="5.1799999999999999E-2"/>
    <b v="1"/>
    <n v="2012"/>
    <x v="0"/>
    <s v="Acquired"/>
    <n v="4.0599999999999996"/>
    <n v="65"/>
    <n v="13"/>
    <x v="6"/>
  </r>
  <r>
    <s v="Startup_14"/>
    <x v="2"/>
    <n v="5"/>
    <n v="169950000"/>
    <n v="720540000"/>
    <n v="17920000"/>
    <n v="1262"/>
    <n v="4.87E-2"/>
    <b v="0"/>
    <n v="2014"/>
    <x v="3"/>
    <s v="Acquired"/>
    <n v="4.24"/>
    <n v="14200"/>
    <n v="11"/>
    <x v="2"/>
  </r>
  <r>
    <s v="Startup_15"/>
    <x v="3"/>
    <n v="1"/>
    <n v="295620000"/>
    <n v="2960940000"/>
    <n v="3000000"/>
    <n v="3639"/>
    <n v="6.3899999999999998E-2"/>
    <b v="1"/>
    <n v="2015"/>
    <x v="4"/>
    <s v="Acquired"/>
    <n v="10.02"/>
    <n v="824"/>
    <n v="10"/>
    <x v="3"/>
  </r>
  <r>
    <s v="Startup_19"/>
    <x v="0"/>
    <n v="3"/>
    <n v="153980000"/>
    <n v="1729440000"/>
    <n v="40290000"/>
    <n v="4345"/>
    <n v="4.4999999999999998E-2"/>
    <b v="0"/>
    <n v="1995"/>
    <x v="1"/>
    <s v="Acquired"/>
    <n v="11.23"/>
    <n v="9273"/>
    <n v="30"/>
    <x v="0"/>
  </r>
  <r>
    <s v="Startup_25"/>
    <x v="3"/>
    <n v="1"/>
    <n v="126800000"/>
    <n v="1174260000"/>
    <n v="70320000"/>
    <n v="3163"/>
    <n v="4.2099999999999999E-2"/>
    <b v="0"/>
    <n v="2003"/>
    <x v="4"/>
    <s v="Acquired"/>
    <n v="9.26"/>
    <n v="22232"/>
    <n v="22"/>
    <x v="3"/>
  </r>
  <r>
    <s v="Startup_26"/>
    <x v="6"/>
    <n v="3"/>
    <n v="40120000"/>
    <n v="285330000"/>
    <n v="5380000"/>
    <n v="790"/>
    <n v="8.4900000000000003E-2"/>
    <b v="1"/>
    <n v="2002"/>
    <x v="1"/>
    <s v="Acquired"/>
    <n v="7.11"/>
    <n v="6810"/>
    <n v="23"/>
    <x v="6"/>
  </r>
  <r>
    <s v="Startup_29"/>
    <x v="3"/>
    <n v="1"/>
    <n v="205110000"/>
    <n v="941980000"/>
    <n v="60250000"/>
    <n v="4177"/>
    <n v="9.7500000000000003E-2"/>
    <b v="1"/>
    <n v="2008"/>
    <x v="0"/>
    <s v="Acquired"/>
    <n v="4.59"/>
    <n v="14424"/>
    <n v="17"/>
    <x v="3"/>
  </r>
  <r>
    <s v="Startup_30"/>
    <x v="3"/>
    <n v="3"/>
    <n v="246860000"/>
    <n v="1165800000"/>
    <n v="2390000"/>
    <n v="4159"/>
    <n v="3.7000000000000002E-3"/>
    <b v="0"/>
    <n v="2006"/>
    <x v="1"/>
    <s v="Acquired"/>
    <n v="4.72"/>
    <n v="575"/>
    <n v="19"/>
    <x v="3"/>
  </r>
  <r>
    <s v="Startup_31"/>
    <x v="4"/>
    <n v="3"/>
    <n v="159130000"/>
    <n v="2272030000"/>
    <n v="32280000"/>
    <n v="1941"/>
    <n v="8.4099999999999994E-2"/>
    <b v="0"/>
    <n v="2008"/>
    <x v="4"/>
    <s v="Acquired"/>
    <n v="14.28"/>
    <n v="16631"/>
    <n v="17"/>
    <x v="4"/>
  </r>
  <r>
    <s v="Startup_40"/>
    <x v="3"/>
    <n v="4"/>
    <n v="79470000"/>
    <n v="869370000"/>
    <n v="37410000"/>
    <n v="2726"/>
    <n v="5.6800000000000003E-2"/>
    <b v="1"/>
    <n v="1995"/>
    <x v="2"/>
    <s v="Acquired"/>
    <n v="10.94"/>
    <n v="13723"/>
    <n v="30"/>
    <x v="3"/>
  </r>
  <r>
    <s v="Startup_51"/>
    <x v="4"/>
    <n v="3"/>
    <n v="106480000"/>
    <n v="1086870000"/>
    <n v="63790000"/>
    <n v="387"/>
    <n v="8.8999999999999996E-2"/>
    <b v="0"/>
    <n v="1991"/>
    <x v="2"/>
    <s v="Acquired"/>
    <n v="10.210000000000001"/>
    <n v="164832"/>
    <n v="34"/>
    <x v="4"/>
  </r>
  <r>
    <s v="Startup_54"/>
    <x v="5"/>
    <n v="1"/>
    <n v="27560000"/>
    <n v="303260000"/>
    <n v="68620000"/>
    <n v="143"/>
    <n v="2.63E-2"/>
    <b v="1"/>
    <n v="1997"/>
    <x v="2"/>
    <s v="Acquired"/>
    <n v="11"/>
    <n v="479860"/>
    <n v="28"/>
    <x v="5"/>
  </r>
  <r>
    <s v="Startup_60"/>
    <x v="2"/>
    <n v="1"/>
    <n v="216600000"/>
    <n v="2901850000"/>
    <n v="56600000"/>
    <n v="1308"/>
    <n v="3.0200000000000001E-2"/>
    <b v="0"/>
    <n v="1997"/>
    <x v="1"/>
    <s v="Acquired"/>
    <n v="13.4"/>
    <n v="43272"/>
    <n v="28"/>
    <x v="2"/>
  </r>
  <r>
    <s v="Startup_64"/>
    <x v="6"/>
    <n v="2"/>
    <n v="286250000"/>
    <n v="1850390000"/>
    <n v="58620000"/>
    <n v="3840"/>
    <n v="8.2799999999999999E-2"/>
    <b v="1"/>
    <n v="1999"/>
    <x v="3"/>
    <s v="Acquired"/>
    <n v="6.46"/>
    <n v="15266"/>
    <n v="26"/>
    <x v="6"/>
  </r>
  <r>
    <s v="Startup_65"/>
    <x v="5"/>
    <n v="2"/>
    <n v="40930000"/>
    <n v="176380000"/>
    <n v="58690000"/>
    <n v="2156"/>
    <n v="5.7000000000000002E-3"/>
    <b v="1"/>
    <n v="2007"/>
    <x v="4"/>
    <s v="Acquired"/>
    <n v="4.3099999999999996"/>
    <n v="27222"/>
    <n v="18"/>
    <x v="5"/>
  </r>
  <r>
    <s v="Startup_74"/>
    <x v="3"/>
    <n v="3"/>
    <n v="187190000"/>
    <n v="1405440000"/>
    <n v="48140000"/>
    <n v="2665"/>
    <n v="9.3200000000000005E-2"/>
    <b v="1"/>
    <n v="2012"/>
    <x v="4"/>
    <s v="Acquired"/>
    <n v="7.51"/>
    <n v="18064"/>
    <n v="13"/>
    <x v="3"/>
  </r>
  <r>
    <s v="Startup_76"/>
    <x v="2"/>
    <n v="1"/>
    <n v="103640000"/>
    <n v="1118160000"/>
    <n v="93740000"/>
    <n v="1914"/>
    <n v="5.5100000000000003E-2"/>
    <b v="1"/>
    <n v="2021"/>
    <x v="4"/>
    <s v="Acquired"/>
    <n v="10.79"/>
    <n v="48976"/>
    <n v="4"/>
    <x v="2"/>
  </r>
  <r>
    <s v="Startup_80"/>
    <x v="3"/>
    <n v="3"/>
    <n v="179690000"/>
    <n v="1754000000"/>
    <n v="90400000"/>
    <n v="1145"/>
    <n v="3.6900000000000002E-2"/>
    <b v="1"/>
    <n v="1998"/>
    <x v="4"/>
    <s v="Acquired"/>
    <n v="9.76"/>
    <n v="78952"/>
    <n v="27"/>
    <x v="3"/>
  </r>
  <r>
    <s v="Startup_82"/>
    <x v="4"/>
    <n v="4"/>
    <n v="23240000"/>
    <n v="222690000"/>
    <n v="78040000"/>
    <n v="1850"/>
    <n v="2.0899999999999998E-2"/>
    <b v="0"/>
    <n v="2009"/>
    <x v="2"/>
    <s v="Acquired"/>
    <n v="9.58"/>
    <n v="42184"/>
    <n v="16"/>
    <x v="4"/>
  </r>
  <r>
    <s v="Startup_84"/>
    <x v="3"/>
    <n v="2"/>
    <n v="1200000"/>
    <n v="11460000"/>
    <n v="5820000"/>
    <n v="3635"/>
    <n v="2E-3"/>
    <b v="0"/>
    <n v="1992"/>
    <x v="0"/>
    <s v="Acquired"/>
    <n v="9.5500000000000007"/>
    <n v="1601"/>
    <n v="33"/>
    <x v="3"/>
  </r>
  <r>
    <s v="Startup_85"/>
    <x v="2"/>
    <n v="2"/>
    <n v="290330000"/>
    <n v="2419330000"/>
    <n v="22600000"/>
    <n v="3216"/>
    <n v="4.4299999999999999E-2"/>
    <b v="0"/>
    <n v="2000"/>
    <x v="4"/>
    <s v="Acquired"/>
    <n v="8.33"/>
    <n v="7027"/>
    <n v="25"/>
    <x v="2"/>
  </r>
  <r>
    <s v="Startup_87"/>
    <x v="2"/>
    <n v="3"/>
    <n v="31380000"/>
    <n v="315200000"/>
    <n v="39940000"/>
    <n v="3737"/>
    <n v="6.1000000000000004E-3"/>
    <b v="1"/>
    <n v="2021"/>
    <x v="0"/>
    <s v="Acquired"/>
    <n v="10.039999999999999"/>
    <n v="10688"/>
    <n v="4"/>
    <x v="2"/>
  </r>
  <r>
    <s v="Startup_90"/>
    <x v="7"/>
    <n v="4"/>
    <n v="288650000"/>
    <n v="3496170000"/>
    <n v="1440000"/>
    <n v="480"/>
    <n v="7.3400000000000007E-2"/>
    <b v="0"/>
    <n v="2006"/>
    <x v="4"/>
    <s v="Acquired"/>
    <n v="12.11"/>
    <n v="3000"/>
    <n v="19"/>
    <x v="7"/>
  </r>
  <r>
    <s v="Startup_94"/>
    <x v="5"/>
    <n v="2"/>
    <n v="26470000"/>
    <n v="348500000"/>
    <n v="27640000"/>
    <n v="562"/>
    <n v="6.1400000000000003E-2"/>
    <b v="0"/>
    <n v="2011"/>
    <x v="4"/>
    <s v="Acquired"/>
    <n v="13.17"/>
    <n v="49181"/>
    <n v="14"/>
    <x v="5"/>
  </r>
  <r>
    <s v="Startup_96"/>
    <x v="5"/>
    <n v="1"/>
    <n v="227640000"/>
    <n v="2905870000"/>
    <n v="78730000"/>
    <n v="2199"/>
    <n v="8.2000000000000003E-2"/>
    <b v="1"/>
    <n v="2011"/>
    <x v="4"/>
    <s v="Acquired"/>
    <n v="12.77"/>
    <n v="35803"/>
    <n v="14"/>
    <x v="5"/>
  </r>
  <r>
    <s v="Startup_103"/>
    <x v="5"/>
    <n v="1"/>
    <n v="194180000"/>
    <n v="1862760000"/>
    <n v="85320000"/>
    <n v="3493"/>
    <n v="2.2800000000000001E-2"/>
    <b v="0"/>
    <n v="1998"/>
    <x v="0"/>
    <s v="Acquired"/>
    <n v="9.59"/>
    <n v="24426"/>
    <n v="27"/>
    <x v="5"/>
  </r>
  <r>
    <s v="Startup_109"/>
    <x v="5"/>
    <n v="2"/>
    <n v="299810000"/>
    <n v="4125560000"/>
    <n v="77210000"/>
    <n v="2813"/>
    <n v="7.5600000000000001E-2"/>
    <b v="1"/>
    <n v="1998"/>
    <x v="3"/>
    <s v="Acquired"/>
    <n v="13.76"/>
    <n v="27448"/>
    <n v="27"/>
    <x v="5"/>
  </r>
  <r>
    <s v="Startup_111"/>
    <x v="7"/>
    <n v="3"/>
    <n v="142230000"/>
    <n v="2056070000"/>
    <n v="23750000"/>
    <n v="3541"/>
    <n v="2.76E-2"/>
    <b v="0"/>
    <n v="1999"/>
    <x v="2"/>
    <s v="Acquired"/>
    <n v="14.46"/>
    <n v="6707"/>
    <n v="26"/>
    <x v="7"/>
  </r>
  <r>
    <s v="Startup_117"/>
    <x v="4"/>
    <n v="4"/>
    <n v="126820000"/>
    <n v="633590000"/>
    <n v="82800000"/>
    <n v="2824"/>
    <n v="9.5000000000000001E-2"/>
    <b v="1"/>
    <n v="2017"/>
    <x v="1"/>
    <s v="Acquired"/>
    <n v="5"/>
    <n v="29320"/>
    <n v="8"/>
    <x v="4"/>
  </r>
  <r>
    <s v="Startup_119"/>
    <x v="6"/>
    <n v="1"/>
    <n v="223650000"/>
    <n v="2074800000"/>
    <n v="62480000"/>
    <n v="369"/>
    <n v="1.3899999999999999E-2"/>
    <b v="0"/>
    <n v="1999"/>
    <x v="3"/>
    <s v="Acquired"/>
    <n v="9.2799999999999994"/>
    <n v="169322"/>
    <n v="26"/>
    <x v="6"/>
  </r>
  <r>
    <s v="Startup_122"/>
    <x v="3"/>
    <n v="3"/>
    <n v="156970000"/>
    <n v="1473500000"/>
    <n v="14580000"/>
    <n v="2563"/>
    <n v="7.1099999999999997E-2"/>
    <b v="0"/>
    <n v="2014"/>
    <x v="3"/>
    <s v="Acquired"/>
    <n v="9.39"/>
    <n v="5689"/>
    <n v="11"/>
    <x v="3"/>
  </r>
  <r>
    <s v="Startup_127"/>
    <x v="7"/>
    <n v="3"/>
    <n v="144580000"/>
    <n v="2128320000"/>
    <n v="94710000"/>
    <n v="3940"/>
    <n v="1.8800000000000001E-2"/>
    <b v="0"/>
    <n v="2010"/>
    <x v="1"/>
    <s v="Acquired"/>
    <n v="14.72"/>
    <n v="24038"/>
    <n v="15"/>
    <x v="7"/>
  </r>
  <r>
    <s v="Startup_128"/>
    <x v="2"/>
    <n v="3"/>
    <n v="265560000"/>
    <n v="3419910000"/>
    <n v="96740000"/>
    <n v="4940"/>
    <n v="1.0699999999999999E-2"/>
    <b v="1"/>
    <n v="2010"/>
    <x v="2"/>
    <s v="Acquired"/>
    <n v="12.88"/>
    <n v="19583"/>
    <n v="15"/>
    <x v="2"/>
  </r>
  <r>
    <s v="Startup_131"/>
    <x v="4"/>
    <n v="2"/>
    <n v="121640000"/>
    <n v="1619390000"/>
    <n v="72030000"/>
    <n v="1729"/>
    <n v="1.34E-2"/>
    <b v="1"/>
    <n v="2006"/>
    <x v="3"/>
    <s v="Acquired"/>
    <n v="13.31"/>
    <n v="41660"/>
    <n v="19"/>
    <x v="4"/>
  </r>
  <r>
    <s v="Startup_133"/>
    <x v="7"/>
    <n v="2"/>
    <n v="241290000"/>
    <n v="1258330000"/>
    <n v="8980000"/>
    <n v="2772"/>
    <n v="3.5099999999999999E-2"/>
    <b v="1"/>
    <n v="2001"/>
    <x v="4"/>
    <s v="Acquired"/>
    <n v="5.22"/>
    <n v="3240"/>
    <n v="24"/>
    <x v="7"/>
  </r>
  <r>
    <s v="Startup_139"/>
    <x v="3"/>
    <n v="4"/>
    <n v="263060000"/>
    <n v="1063940000"/>
    <n v="54300000"/>
    <n v="3911"/>
    <n v="1.66E-2"/>
    <b v="0"/>
    <n v="2005"/>
    <x v="1"/>
    <s v="Acquired"/>
    <n v="4.04"/>
    <n v="13884"/>
    <n v="20"/>
    <x v="3"/>
  </r>
  <r>
    <s v="Startup_140"/>
    <x v="0"/>
    <n v="2"/>
    <n v="125540000"/>
    <n v="1605530000"/>
    <n v="79190000"/>
    <n v="3642"/>
    <n v="1.2800000000000001E-2"/>
    <b v="0"/>
    <n v="1995"/>
    <x v="3"/>
    <s v="Acquired"/>
    <n v="12.79"/>
    <n v="21744"/>
    <n v="30"/>
    <x v="0"/>
  </r>
  <r>
    <s v="Startup_146"/>
    <x v="7"/>
    <n v="1"/>
    <n v="279810000"/>
    <n v="2569240000"/>
    <n v="14180000"/>
    <n v="1232"/>
    <n v="4.8800000000000003E-2"/>
    <b v="1"/>
    <n v="2016"/>
    <x v="4"/>
    <s v="Acquired"/>
    <n v="9.18"/>
    <n v="11510"/>
    <n v="9"/>
    <x v="7"/>
  </r>
  <r>
    <s v="Startup_151"/>
    <x v="6"/>
    <n v="5"/>
    <n v="11760000"/>
    <n v="86190000"/>
    <n v="46070000"/>
    <n v="4157"/>
    <n v="7.8399999999999997E-2"/>
    <b v="1"/>
    <n v="2001"/>
    <x v="1"/>
    <s v="Acquired"/>
    <n v="7.33"/>
    <n v="11083"/>
    <n v="24"/>
    <x v="6"/>
  </r>
  <r>
    <s v="Startup_155"/>
    <x v="2"/>
    <n v="1"/>
    <n v="119790000"/>
    <n v="726850000"/>
    <n v="11280000"/>
    <n v="2846"/>
    <n v="8.4500000000000006E-2"/>
    <b v="1"/>
    <n v="2010"/>
    <x v="2"/>
    <s v="Acquired"/>
    <n v="6.07"/>
    <n v="3963"/>
    <n v="15"/>
    <x v="2"/>
  </r>
  <r>
    <s v="Startup_156"/>
    <x v="7"/>
    <n v="1"/>
    <n v="27960000"/>
    <n v="185230000"/>
    <n v="35660000"/>
    <n v="4213"/>
    <n v="1.0699999999999999E-2"/>
    <b v="0"/>
    <n v="1997"/>
    <x v="2"/>
    <s v="Acquired"/>
    <n v="6.62"/>
    <n v="8464"/>
    <n v="28"/>
    <x v="7"/>
  </r>
  <r>
    <s v="Startup_167"/>
    <x v="2"/>
    <n v="3"/>
    <n v="273150000"/>
    <n v="2369500000"/>
    <n v="66000000"/>
    <n v="4241"/>
    <n v="7.17E-2"/>
    <b v="1"/>
    <n v="1999"/>
    <x v="2"/>
    <s v="Acquired"/>
    <n v="8.67"/>
    <n v="15562"/>
    <n v="26"/>
    <x v="2"/>
  </r>
  <r>
    <s v="Startup_168"/>
    <x v="5"/>
    <n v="3"/>
    <n v="14010000"/>
    <n v="132030000"/>
    <n v="16250000"/>
    <n v="1772"/>
    <n v="9.5299999999999996E-2"/>
    <b v="0"/>
    <n v="1996"/>
    <x v="0"/>
    <s v="Acquired"/>
    <n v="9.42"/>
    <n v="9170"/>
    <n v="29"/>
    <x v="5"/>
  </r>
  <r>
    <s v="Startup_172"/>
    <x v="2"/>
    <n v="2"/>
    <n v="286950000"/>
    <n v="1570830000"/>
    <n v="75100000"/>
    <n v="3203"/>
    <n v="6.8000000000000005E-2"/>
    <b v="1"/>
    <n v="2008"/>
    <x v="4"/>
    <s v="Acquired"/>
    <n v="5.47"/>
    <n v="23447"/>
    <n v="17"/>
    <x v="2"/>
  </r>
  <r>
    <s v="Startup_175"/>
    <x v="5"/>
    <n v="1"/>
    <n v="176770000"/>
    <n v="1870970000"/>
    <n v="9510000"/>
    <n v="4647"/>
    <n v="8.1799999999999998E-2"/>
    <b v="1"/>
    <n v="2016"/>
    <x v="2"/>
    <s v="Acquired"/>
    <n v="10.58"/>
    <n v="2046"/>
    <n v="9"/>
    <x v="5"/>
  </r>
  <r>
    <s v="Startup_179"/>
    <x v="3"/>
    <n v="1"/>
    <n v="271170000"/>
    <n v="2756320000"/>
    <n v="79850000"/>
    <n v="3341"/>
    <n v="9.3600000000000003E-2"/>
    <b v="0"/>
    <n v="1995"/>
    <x v="3"/>
    <s v="Acquired"/>
    <n v="10.16"/>
    <n v="23900"/>
    <n v="30"/>
    <x v="3"/>
  </r>
  <r>
    <s v="Startup_180"/>
    <x v="3"/>
    <n v="1"/>
    <n v="296760000"/>
    <n v="3297030000"/>
    <n v="37260000"/>
    <n v="4902"/>
    <n v="8.5199999999999998E-2"/>
    <b v="1"/>
    <n v="1991"/>
    <x v="4"/>
    <s v="Acquired"/>
    <n v="11.11"/>
    <n v="7601"/>
    <n v="34"/>
    <x v="3"/>
  </r>
  <r>
    <s v="Startup_182"/>
    <x v="7"/>
    <n v="4"/>
    <n v="19960000"/>
    <n v="166660000"/>
    <n v="39800000"/>
    <n v="2019"/>
    <n v="6.3200000000000006E-2"/>
    <b v="1"/>
    <n v="2021"/>
    <x v="4"/>
    <s v="Acquired"/>
    <n v="8.35"/>
    <n v="19713"/>
    <n v="4"/>
    <x v="7"/>
  </r>
  <r>
    <s v="Startup_184"/>
    <x v="5"/>
    <n v="1"/>
    <n v="251430000"/>
    <n v="802020000"/>
    <n v="44160000"/>
    <n v="1103"/>
    <n v="1.7100000000000001E-2"/>
    <b v="1"/>
    <n v="2007"/>
    <x v="4"/>
    <s v="Acquired"/>
    <n v="3.19"/>
    <n v="40036"/>
    <n v="18"/>
    <x v="5"/>
  </r>
  <r>
    <s v="Startup_186"/>
    <x v="2"/>
    <n v="4"/>
    <n v="249280000"/>
    <n v="3196890000"/>
    <n v="18750000"/>
    <n v="3660"/>
    <n v="3.0000000000000001E-3"/>
    <b v="0"/>
    <n v="2019"/>
    <x v="0"/>
    <s v="Acquired"/>
    <n v="12.82"/>
    <n v="5123"/>
    <n v="6"/>
    <x v="2"/>
  </r>
  <r>
    <s v="Startup_189"/>
    <x v="6"/>
    <n v="2"/>
    <n v="115540000"/>
    <n v="1602110000"/>
    <n v="75770000"/>
    <n v="4049"/>
    <n v="4.1799999999999997E-2"/>
    <b v="1"/>
    <n v="2002"/>
    <x v="2"/>
    <s v="Acquired"/>
    <n v="13.87"/>
    <n v="18713"/>
    <n v="23"/>
    <x v="6"/>
  </r>
  <r>
    <s v="Startup_197"/>
    <x v="6"/>
    <n v="4"/>
    <n v="179380000"/>
    <n v="1866600000"/>
    <n v="55830000"/>
    <n v="4262"/>
    <n v="3.4000000000000002E-2"/>
    <b v="0"/>
    <n v="1998"/>
    <x v="3"/>
    <s v="Acquired"/>
    <n v="10.41"/>
    <n v="13099"/>
    <n v="27"/>
    <x v="6"/>
  </r>
  <r>
    <s v="Startup_198"/>
    <x v="3"/>
    <n v="3"/>
    <n v="157750000"/>
    <n v="1310730000"/>
    <n v="16690000"/>
    <n v="4550"/>
    <n v="6.8099999999999994E-2"/>
    <b v="1"/>
    <n v="2021"/>
    <x v="0"/>
    <s v="Acquired"/>
    <n v="8.31"/>
    <n v="3668"/>
    <n v="4"/>
    <x v="3"/>
  </r>
  <r>
    <s v="Startup_208"/>
    <x v="0"/>
    <n v="5"/>
    <n v="268530000"/>
    <n v="1418890000"/>
    <n v="82060000"/>
    <n v="1055"/>
    <n v="6.0499999999999998E-2"/>
    <b v="1"/>
    <n v="2002"/>
    <x v="4"/>
    <s v="Acquired"/>
    <n v="5.28"/>
    <n v="77782"/>
    <n v="23"/>
    <x v="0"/>
  </r>
  <r>
    <s v="Startup_235"/>
    <x v="3"/>
    <n v="2"/>
    <n v="198800000"/>
    <n v="2198470000"/>
    <n v="11160000"/>
    <n v="1269"/>
    <n v="7.7999999999999996E-3"/>
    <b v="1"/>
    <n v="1993"/>
    <x v="3"/>
    <s v="Acquired"/>
    <n v="11.06"/>
    <n v="8794"/>
    <n v="32"/>
    <x v="3"/>
  </r>
  <r>
    <s v="Startup_242"/>
    <x v="2"/>
    <n v="4"/>
    <n v="47620000"/>
    <n v="233890000"/>
    <n v="81940000"/>
    <n v="822"/>
    <n v="7.0699999999999999E-2"/>
    <b v="0"/>
    <n v="2000"/>
    <x v="2"/>
    <s v="Acquired"/>
    <n v="4.91"/>
    <n v="99684"/>
    <n v="25"/>
    <x v="2"/>
  </r>
  <r>
    <s v="Startup_260"/>
    <x v="6"/>
    <n v="4"/>
    <n v="227110000"/>
    <n v="2047130000"/>
    <n v="3210000"/>
    <n v="3904"/>
    <n v="3.7999999999999999E-2"/>
    <b v="0"/>
    <n v="2005"/>
    <x v="3"/>
    <s v="Acquired"/>
    <n v="9.01"/>
    <n v="822"/>
    <n v="20"/>
    <x v="6"/>
  </r>
  <r>
    <s v="Startup_262"/>
    <x v="3"/>
    <n v="5"/>
    <n v="58340000"/>
    <n v="552880000"/>
    <n v="10720000"/>
    <n v="3805"/>
    <n v="6.3100000000000003E-2"/>
    <b v="0"/>
    <n v="2019"/>
    <x v="0"/>
    <s v="Acquired"/>
    <n v="9.48"/>
    <n v="2817"/>
    <n v="6"/>
    <x v="3"/>
  </r>
  <r>
    <s v="Startup_263"/>
    <x v="7"/>
    <n v="1"/>
    <n v="25690000"/>
    <n v="270650000"/>
    <n v="31560000"/>
    <n v="4123"/>
    <n v="3.9199999999999999E-2"/>
    <b v="0"/>
    <n v="2009"/>
    <x v="4"/>
    <s v="Acquired"/>
    <n v="10.54"/>
    <n v="7655"/>
    <n v="16"/>
    <x v="7"/>
  </r>
  <r>
    <s v="Startup_269"/>
    <x v="5"/>
    <n v="5"/>
    <n v="245690000"/>
    <n v="3150930000"/>
    <n v="7360000"/>
    <n v="527"/>
    <n v="6.2100000000000002E-2"/>
    <b v="0"/>
    <n v="2002"/>
    <x v="3"/>
    <s v="Acquired"/>
    <n v="12.82"/>
    <n v="13966"/>
    <n v="23"/>
    <x v="5"/>
  </r>
  <r>
    <s v="Startup_278"/>
    <x v="0"/>
    <n v="3"/>
    <n v="236750000"/>
    <n v="2072100000"/>
    <n v="75950000"/>
    <n v="2592"/>
    <n v="8.09E-2"/>
    <b v="0"/>
    <n v="1991"/>
    <x v="4"/>
    <s v="Acquired"/>
    <n v="8.75"/>
    <n v="29302"/>
    <n v="34"/>
    <x v="0"/>
  </r>
  <r>
    <s v="Startup_280"/>
    <x v="1"/>
    <n v="1"/>
    <n v="231370000"/>
    <n v="2377660000"/>
    <n v="23350000"/>
    <n v="1383"/>
    <n v="8.1900000000000001E-2"/>
    <b v="0"/>
    <n v="1998"/>
    <x v="1"/>
    <s v="Acquired"/>
    <n v="10.28"/>
    <n v="16884"/>
    <n v="27"/>
    <x v="1"/>
  </r>
  <r>
    <s v="Startup_289"/>
    <x v="0"/>
    <n v="5"/>
    <n v="297050000"/>
    <n v="2595860000"/>
    <n v="38010000"/>
    <n v="401"/>
    <n v="6.5699999999999995E-2"/>
    <b v="1"/>
    <n v="2013"/>
    <x v="0"/>
    <s v="Acquired"/>
    <n v="8.74"/>
    <n v="94788"/>
    <n v="12"/>
    <x v="0"/>
  </r>
  <r>
    <s v="Startup_292"/>
    <x v="0"/>
    <n v="3"/>
    <n v="194450000"/>
    <n v="769940000"/>
    <n v="12970000"/>
    <n v="4429"/>
    <n v="9.1200000000000003E-2"/>
    <b v="1"/>
    <n v="2020"/>
    <x v="2"/>
    <s v="Acquired"/>
    <n v="3.96"/>
    <n v="2928"/>
    <n v="5"/>
    <x v="0"/>
  </r>
  <r>
    <s v="Startup_294"/>
    <x v="5"/>
    <n v="4"/>
    <n v="115390000"/>
    <n v="515150000"/>
    <n v="80260000"/>
    <n v="3898"/>
    <n v="3.6200000000000003E-2"/>
    <b v="0"/>
    <n v="1991"/>
    <x v="4"/>
    <s v="Acquired"/>
    <n v="4.46"/>
    <n v="20590"/>
    <n v="34"/>
    <x v="5"/>
  </r>
  <r>
    <s v="Startup_298"/>
    <x v="6"/>
    <n v="1"/>
    <n v="245730000"/>
    <n v="1556220000"/>
    <n v="2810000"/>
    <n v="2673"/>
    <n v="3.61E-2"/>
    <b v="0"/>
    <n v="2017"/>
    <x v="3"/>
    <s v="Acquired"/>
    <n v="6.33"/>
    <n v="1051"/>
    <n v="8"/>
    <x v="6"/>
  </r>
  <r>
    <s v="Startup_300"/>
    <x v="1"/>
    <n v="3"/>
    <n v="810000"/>
    <n v="2430000"/>
    <n v="12830000"/>
    <n v="1201"/>
    <n v="2.23E-2"/>
    <b v="0"/>
    <n v="2013"/>
    <x v="3"/>
    <s v="Acquired"/>
    <n v="3"/>
    <n v="10683"/>
    <n v="12"/>
    <x v="1"/>
  </r>
  <r>
    <s v="Startup_311"/>
    <x v="1"/>
    <n v="3"/>
    <n v="69400000"/>
    <n v="455840000"/>
    <n v="63550000"/>
    <n v="360"/>
    <n v="5.1799999999999999E-2"/>
    <b v="0"/>
    <n v="2003"/>
    <x v="4"/>
    <s v="Acquired"/>
    <n v="6.57"/>
    <n v="176528"/>
    <n v="22"/>
    <x v="1"/>
  </r>
  <r>
    <s v="Startup_313"/>
    <x v="4"/>
    <n v="2"/>
    <n v="260480000"/>
    <n v="1314900000"/>
    <n v="21920000"/>
    <n v="3328"/>
    <n v="9.8799999999999999E-2"/>
    <b v="1"/>
    <n v="2014"/>
    <x v="3"/>
    <s v="Acquired"/>
    <n v="5.05"/>
    <n v="6587"/>
    <n v="11"/>
    <x v="4"/>
  </r>
  <r>
    <s v="Startup_318"/>
    <x v="1"/>
    <n v="3"/>
    <n v="257280000"/>
    <n v="2907110000"/>
    <n v="56760000"/>
    <n v="2106"/>
    <n v="8.0199999999999994E-2"/>
    <b v="0"/>
    <n v="1992"/>
    <x v="2"/>
    <s v="Acquired"/>
    <n v="11.3"/>
    <n v="26952"/>
    <n v="33"/>
    <x v="1"/>
  </r>
  <r>
    <s v="Startup_326"/>
    <x v="5"/>
    <n v="1"/>
    <n v="60510000"/>
    <n v="797290000"/>
    <n v="87740000"/>
    <n v="1820"/>
    <n v="8.7499999999999994E-2"/>
    <b v="0"/>
    <n v="2020"/>
    <x v="1"/>
    <s v="Acquired"/>
    <n v="13.18"/>
    <n v="48209"/>
    <n v="5"/>
    <x v="5"/>
  </r>
  <r>
    <s v="Startup_334"/>
    <x v="5"/>
    <n v="5"/>
    <n v="27800000"/>
    <n v="142410000"/>
    <n v="28600000"/>
    <n v="2069"/>
    <n v="5.0500000000000003E-2"/>
    <b v="1"/>
    <n v="1996"/>
    <x v="2"/>
    <s v="Acquired"/>
    <n v="5.12"/>
    <n v="13823"/>
    <n v="29"/>
    <x v="5"/>
  </r>
  <r>
    <s v="Startup_336"/>
    <x v="5"/>
    <n v="5"/>
    <n v="136380000"/>
    <n v="1986490000"/>
    <n v="26850000"/>
    <n v="3258"/>
    <n v="6.0299999999999999E-2"/>
    <b v="1"/>
    <n v="2004"/>
    <x v="3"/>
    <s v="Acquired"/>
    <n v="14.57"/>
    <n v="8241"/>
    <n v="21"/>
    <x v="5"/>
  </r>
  <r>
    <s v="Startup_337"/>
    <x v="1"/>
    <n v="4"/>
    <n v="159340000"/>
    <n v="953330000"/>
    <n v="78940000"/>
    <n v="4984"/>
    <n v="2.0899999999999998E-2"/>
    <b v="0"/>
    <n v="2006"/>
    <x v="0"/>
    <s v="Acquired"/>
    <n v="5.98"/>
    <n v="15839"/>
    <n v="19"/>
    <x v="1"/>
  </r>
  <r>
    <s v="Startup_349"/>
    <x v="6"/>
    <n v="4"/>
    <n v="167740000"/>
    <n v="633290000"/>
    <n v="2610000"/>
    <n v="3763"/>
    <n v="5.21E-2"/>
    <b v="1"/>
    <n v="2021"/>
    <x v="4"/>
    <s v="Acquired"/>
    <n v="3.78"/>
    <n v="694"/>
    <n v="4"/>
    <x v="6"/>
  </r>
  <r>
    <s v="Startup_353"/>
    <x v="7"/>
    <n v="5"/>
    <n v="98110000"/>
    <n v="1054980000"/>
    <n v="46500000"/>
    <n v="2750"/>
    <n v="7.2300000000000003E-2"/>
    <b v="1"/>
    <n v="1998"/>
    <x v="3"/>
    <s v="Acquired"/>
    <n v="10.75"/>
    <n v="16909"/>
    <n v="27"/>
    <x v="7"/>
  </r>
  <r>
    <s v="Startup_357"/>
    <x v="1"/>
    <n v="2"/>
    <n v="45300000"/>
    <n v="205050000"/>
    <n v="17140000"/>
    <n v="2797"/>
    <n v="1.8E-3"/>
    <b v="1"/>
    <n v="2020"/>
    <x v="2"/>
    <s v="Acquired"/>
    <n v="4.53"/>
    <n v="6128"/>
    <n v="5"/>
    <x v="1"/>
  </r>
  <r>
    <s v="Startup_364"/>
    <x v="3"/>
    <n v="1"/>
    <n v="227240000"/>
    <n v="1751730000"/>
    <n v="23500000"/>
    <n v="4030"/>
    <n v="8.7400000000000005E-2"/>
    <b v="0"/>
    <n v="1990"/>
    <x v="2"/>
    <s v="Acquired"/>
    <n v="7.71"/>
    <n v="5831"/>
    <n v="35"/>
    <x v="3"/>
  </r>
  <r>
    <s v="Startup_365"/>
    <x v="5"/>
    <n v="4"/>
    <n v="285820000"/>
    <n v="4137150000"/>
    <n v="78700000"/>
    <n v="2571"/>
    <n v="8.3000000000000004E-2"/>
    <b v="1"/>
    <n v="2009"/>
    <x v="4"/>
    <s v="Acquired"/>
    <n v="14.47"/>
    <n v="30611"/>
    <n v="16"/>
    <x v="5"/>
  </r>
  <r>
    <s v="Startup_368"/>
    <x v="2"/>
    <n v="4"/>
    <n v="224870000"/>
    <n v="2452050000"/>
    <n v="27230000"/>
    <n v="3714"/>
    <n v="7.8799999999999995E-2"/>
    <b v="0"/>
    <n v="2000"/>
    <x v="3"/>
    <s v="Acquired"/>
    <n v="10.9"/>
    <n v="7332"/>
    <n v="25"/>
    <x v="2"/>
  </r>
  <r>
    <s v="Startup_371"/>
    <x v="7"/>
    <n v="5"/>
    <n v="171490000"/>
    <n v="671730000"/>
    <n v="26970000"/>
    <n v="977"/>
    <n v="2.7900000000000001E-2"/>
    <b v="0"/>
    <n v="2018"/>
    <x v="4"/>
    <s v="Acquired"/>
    <n v="3.92"/>
    <n v="27605"/>
    <n v="7"/>
    <x v="7"/>
  </r>
  <r>
    <s v="Startup_373"/>
    <x v="3"/>
    <n v="2"/>
    <n v="144970000"/>
    <n v="2053330000"/>
    <n v="89160000"/>
    <n v="4407"/>
    <n v="3.2500000000000001E-2"/>
    <b v="0"/>
    <n v="2005"/>
    <x v="4"/>
    <s v="Acquired"/>
    <n v="14.16"/>
    <n v="20231"/>
    <n v="20"/>
    <x v="3"/>
  </r>
  <r>
    <s v="Startup_374"/>
    <x v="4"/>
    <n v="1"/>
    <n v="63500000"/>
    <n v="383330000"/>
    <n v="390000"/>
    <n v="4557"/>
    <n v="9.0499999999999997E-2"/>
    <b v="1"/>
    <n v="2009"/>
    <x v="1"/>
    <s v="Acquired"/>
    <n v="6.04"/>
    <n v="86"/>
    <n v="16"/>
    <x v="4"/>
  </r>
  <r>
    <s v="Startup_375"/>
    <x v="3"/>
    <n v="4"/>
    <n v="104130000"/>
    <n v="1288510000"/>
    <n v="4070000"/>
    <n v="2212"/>
    <n v="8.6999999999999994E-3"/>
    <b v="0"/>
    <n v="1992"/>
    <x v="3"/>
    <s v="Acquired"/>
    <n v="12.37"/>
    <n v="1840"/>
    <n v="33"/>
    <x v="3"/>
  </r>
  <r>
    <s v="Startup_377"/>
    <x v="3"/>
    <n v="1"/>
    <n v="282400000"/>
    <n v="2526190000"/>
    <n v="90750000"/>
    <n v="4325"/>
    <n v="3.5499999999999997E-2"/>
    <b v="0"/>
    <n v="1990"/>
    <x v="3"/>
    <s v="Acquired"/>
    <n v="8.9499999999999993"/>
    <n v="20983"/>
    <n v="35"/>
    <x v="3"/>
  </r>
  <r>
    <s v="Startup_378"/>
    <x v="3"/>
    <n v="3"/>
    <n v="22190000"/>
    <n v="169450000"/>
    <n v="23960000"/>
    <n v="3035"/>
    <n v="5.2600000000000001E-2"/>
    <b v="0"/>
    <n v="2006"/>
    <x v="4"/>
    <s v="Acquired"/>
    <n v="7.64"/>
    <n v="7895"/>
    <n v="19"/>
    <x v="3"/>
  </r>
  <r>
    <s v="Startup_383"/>
    <x v="1"/>
    <n v="5"/>
    <n v="107660000"/>
    <n v="1463050000"/>
    <n v="47030000"/>
    <n v="4716"/>
    <n v="4.2000000000000003E-2"/>
    <b v="1"/>
    <n v="1997"/>
    <x v="1"/>
    <s v="Acquired"/>
    <n v="13.59"/>
    <n v="9972"/>
    <n v="28"/>
    <x v="1"/>
  </r>
  <r>
    <s v="Startup_389"/>
    <x v="5"/>
    <n v="3"/>
    <n v="12830000"/>
    <n v="153380000"/>
    <n v="5040000"/>
    <n v="3281"/>
    <n v="3.9100000000000003E-2"/>
    <b v="0"/>
    <n v="2001"/>
    <x v="4"/>
    <s v="Acquired"/>
    <n v="11.95"/>
    <n v="1536"/>
    <n v="24"/>
    <x v="5"/>
  </r>
  <r>
    <s v="Startup_391"/>
    <x v="6"/>
    <n v="1"/>
    <n v="285490000"/>
    <n v="3604470000"/>
    <n v="84410000"/>
    <n v="1246"/>
    <n v="4.3499999999999997E-2"/>
    <b v="0"/>
    <n v="2009"/>
    <x v="1"/>
    <s v="Acquired"/>
    <n v="12.63"/>
    <n v="67745"/>
    <n v="16"/>
    <x v="6"/>
  </r>
  <r>
    <s v="Startup_406"/>
    <x v="3"/>
    <n v="2"/>
    <n v="179440000"/>
    <n v="1451950000"/>
    <n v="67570000"/>
    <n v="2414"/>
    <n v="2.1999999999999999E-2"/>
    <b v="0"/>
    <n v="2012"/>
    <x v="2"/>
    <s v="Acquired"/>
    <n v="8.09"/>
    <n v="27991"/>
    <n v="13"/>
    <x v="3"/>
  </r>
  <r>
    <s v="Startup_416"/>
    <x v="2"/>
    <n v="1"/>
    <n v="184910000"/>
    <n v="1133230000"/>
    <n v="67490000"/>
    <n v="3178"/>
    <n v="7.5600000000000001E-2"/>
    <b v="0"/>
    <n v="2000"/>
    <x v="3"/>
    <s v="Acquired"/>
    <n v="6.13"/>
    <n v="21237"/>
    <n v="25"/>
    <x v="2"/>
  </r>
  <r>
    <s v="Startup_417"/>
    <x v="3"/>
    <n v="4"/>
    <n v="99040000"/>
    <n v="379430000"/>
    <n v="29740000"/>
    <n v="220"/>
    <n v="8.7300000000000003E-2"/>
    <b v="0"/>
    <n v="2015"/>
    <x v="4"/>
    <s v="Acquired"/>
    <n v="3.83"/>
    <n v="135182"/>
    <n v="10"/>
    <x v="3"/>
  </r>
  <r>
    <s v="Startup_421"/>
    <x v="7"/>
    <n v="5"/>
    <n v="130380000"/>
    <n v="895270000"/>
    <n v="86300000"/>
    <n v="163"/>
    <n v="2.12E-2"/>
    <b v="1"/>
    <n v="1995"/>
    <x v="0"/>
    <s v="Acquired"/>
    <n v="6.87"/>
    <n v="529448"/>
    <n v="30"/>
    <x v="7"/>
  </r>
  <r>
    <s v="Startup_425"/>
    <x v="4"/>
    <n v="2"/>
    <n v="196150000"/>
    <n v="1732430000"/>
    <n v="4150000"/>
    <n v="1781"/>
    <n v="3.2000000000000002E-3"/>
    <b v="0"/>
    <n v="1996"/>
    <x v="4"/>
    <s v="Acquired"/>
    <n v="8.83"/>
    <n v="2330"/>
    <n v="29"/>
    <x v="4"/>
  </r>
  <r>
    <s v="Startup_433"/>
    <x v="4"/>
    <n v="4"/>
    <n v="61470000"/>
    <n v="254490000"/>
    <n v="55000000"/>
    <n v="2788"/>
    <n v="1.23E-2"/>
    <b v="1"/>
    <n v="2005"/>
    <x v="4"/>
    <s v="Acquired"/>
    <n v="4.1399999999999997"/>
    <n v="19727"/>
    <n v="20"/>
    <x v="4"/>
  </r>
  <r>
    <s v="Startup_440"/>
    <x v="3"/>
    <n v="3"/>
    <n v="220740000"/>
    <n v="2452820000"/>
    <n v="64680000"/>
    <n v="3299"/>
    <n v="8.5900000000000004E-2"/>
    <b v="1"/>
    <n v="2000"/>
    <x v="1"/>
    <s v="Acquired"/>
    <n v="11.11"/>
    <n v="19606"/>
    <n v="25"/>
    <x v="3"/>
  </r>
  <r>
    <s v="Startup_445"/>
    <x v="7"/>
    <n v="3"/>
    <n v="176620000"/>
    <n v="1201560000"/>
    <n v="11660000"/>
    <n v="497"/>
    <n v="7.17E-2"/>
    <b v="0"/>
    <n v="2015"/>
    <x v="4"/>
    <s v="Acquired"/>
    <n v="6.8"/>
    <n v="23461"/>
    <n v="10"/>
    <x v="7"/>
  </r>
  <r>
    <s v="Startup_448"/>
    <x v="0"/>
    <n v="3"/>
    <n v="182050000"/>
    <n v="1734610000"/>
    <n v="63820000"/>
    <n v="3237"/>
    <n v="7.0000000000000007E-2"/>
    <b v="0"/>
    <n v="2008"/>
    <x v="3"/>
    <s v="Acquired"/>
    <n v="9.5299999999999994"/>
    <n v="19716"/>
    <n v="17"/>
    <x v="0"/>
  </r>
  <r>
    <s v="Startup_451"/>
    <x v="1"/>
    <n v="4"/>
    <n v="196680000"/>
    <n v="2899210000"/>
    <n v="82920000"/>
    <n v="1551"/>
    <n v="8.7499999999999994E-2"/>
    <b v="0"/>
    <n v="2003"/>
    <x v="1"/>
    <s v="Acquired"/>
    <n v="14.74"/>
    <n v="53462"/>
    <n v="22"/>
    <x v="1"/>
  </r>
  <r>
    <s v="Startup_456"/>
    <x v="1"/>
    <n v="1"/>
    <n v="140010000"/>
    <n v="957770000"/>
    <n v="44940000"/>
    <n v="4680"/>
    <n v="5.1499999999999997E-2"/>
    <b v="0"/>
    <n v="2005"/>
    <x v="2"/>
    <s v="Acquired"/>
    <n v="6.84"/>
    <n v="9603"/>
    <n v="20"/>
    <x v="1"/>
  </r>
  <r>
    <s v="Startup_457"/>
    <x v="5"/>
    <n v="5"/>
    <n v="250880000"/>
    <n v="3020160000"/>
    <n v="8530000"/>
    <n v="1895"/>
    <n v="8.2199999999999995E-2"/>
    <b v="1"/>
    <n v="2019"/>
    <x v="4"/>
    <s v="Acquired"/>
    <n v="12.04"/>
    <n v="4501"/>
    <n v="6"/>
    <x v="5"/>
  </r>
  <r>
    <s v="Startup_461"/>
    <x v="4"/>
    <n v="3"/>
    <n v="180760000"/>
    <n v="776420000"/>
    <n v="21680000"/>
    <n v="361"/>
    <n v="4.1599999999999998E-2"/>
    <b v="0"/>
    <n v="2012"/>
    <x v="0"/>
    <s v="Acquired"/>
    <n v="4.3"/>
    <n v="60055"/>
    <n v="13"/>
    <x v="4"/>
  </r>
  <r>
    <s v="Startup_466"/>
    <x v="4"/>
    <n v="2"/>
    <n v="21210000"/>
    <n v="101980000"/>
    <n v="85200000"/>
    <n v="624"/>
    <n v="5.1999999999999998E-3"/>
    <b v="0"/>
    <n v="2007"/>
    <x v="1"/>
    <s v="Acquired"/>
    <n v="4.8099999999999996"/>
    <n v="136538"/>
    <n v="18"/>
    <x v="4"/>
  </r>
  <r>
    <s v="Startup_481"/>
    <x v="5"/>
    <n v="3"/>
    <n v="119300000"/>
    <n v="1419730000"/>
    <n v="2840000"/>
    <n v="3428"/>
    <n v="7.3200000000000001E-2"/>
    <b v="1"/>
    <n v="1998"/>
    <x v="0"/>
    <s v="Acquired"/>
    <n v="11.9"/>
    <n v="828"/>
    <n v="27"/>
    <x v="5"/>
  </r>
  <r>
    <s v="Startup_493"/>
    <x v="3"/>
    <n v="4"/>
    <n v="76130000"/>
    <n v="720520000"/>
    <n v="770000"/>
    <n v="1641"/>
    <n v="6.3600000000000004E-2"/>
    <b v="1"/>
    <n v="1993"/>
    <x v="4"/>
    <s v="Acquired"/>
    <n v="9.4600000000000009"/>
    <n v="469"/>
    <n v="32"/>
    <x v="3"/>
  </r>
  <r>
    <s v="Startup_6"/>
    <x v="4"/>
    <n v="5"/>
    <n v="103890000"/>
    <n v="1541760000"/>
    <n v="12560000"/>
    <n v="1462"/>
    <n v="8.9599999999999999E-2"/>
    <b v="1"/>
    <n v="2004"/>
    <x v="2"/>
    <s v="IPO"/>
    <n v="14.84"/>
    <n v="8591"/>
    <n v="21"/>
    <x v="4"/>
  </r>
  <r>
    <s v="Startup_8"/>
    <x v="1"/>
    <n v="5"/>
    <n v="109150000"/>
    <n v="630190000"/>
    <n v="64370000"/>
    <n v="3420"/>
    <n v="9.0200000000000002E-2"/>
    <b v="1"/>
    <n v="2002"/>
    <x v="0"/>
    <s v="IPO"/>
    <n v="5.77"/>
    <n v="18822"/>
    <n v="23"/>
    <x v="1"/>
  </r>
  <r>
    <s v="Startup_28"/>
    <x v="3"/>
    <n v="2"/>
    <n v="207520000"/>
    <n v="935690000"/>
    <n v="59980000"/>
    <n v="801"/>
    <n v="8.7900000000000006E-2"/>
    <b v="1"/>
    <n v="2004"/>
    <x v="3"/>
    <s v="IPO"/>
    <n v="4.51"/>
    <n v="74881"/>
    <n v="21"/>
    <x v="3"/>
  </r>
  <r>
    <s v="Startup_47"/>
    <x v="7"/>
    <n v="5"/>
    <n v="251510000"/>
    <n v="3074010000"/>
    <n v="76680000"/>
    <n v="3185"/>
    <n v="8.4699999999999998E-2"/>
    <b v="1"/>
    <n v="1993"/>
    <x v="2"/>
    <s v="IPO"/>
    <n v="12.22"/>
    <n v="24075"/>
    <n v="32"/>
    <x v="7"/>
  </r>
  <r>
    <s v="Startup_56"/>
    <x v="0"/>
    <n v="3"/>
    <n v="20940000"/>
    <n v="150410000"/>
    <n v="74750000"/>
    <n v="4936"/>
    <n v="5.9799999999999999E-2"/>
    <b v="0"/>
    <n v="2004"/>
    <x v="2"/>
    <s v="IPO"/>
    <n v="7.18"/>
    <n v="15144"/>
    <n v="21"/>
    <x v="0"/>
  </r>
  <r>
    <s v="Startup_62"/>
    <x v="1"/>
    <n v="2"/>
    <n v="284820000"/>
    <n v="3426140000"/>
    <n v="16610000"/>
    <n v="2191"/>
    <n v="4.65E-2"/>
    <b v="1"/>
    <n v="2005"/>
    <x v="4"/>
    <s v="IPO"/>
    <n v="12.03"/>
    <n v="7581"/>
    <n v="20"/>
    <x v="1"/>
  </r>
  <r>
    <s v="Startup_63"/>
    <x v="6"/>
    <n v="4"/>
    <n v="119300000"/>
    <n v="487430000"/>
    <n v="70060000"/>
    <n v="3175"/>
    <n v="1.04E-2"/>
    <b v="1"/>
    <n v="2019"/>
    <x v="3"/>
    <s v="IPO"/>
    <n v="4.09"/>
    <n v="22066"/>
    <n v="6"/>
    <x v="6"/>
  </r>
  <r>
    <s v="Startup_67"/>
    <x v="3"/>
    <n v="3"/>
    <n v="81340000"/>
    <n v="990910000"/>
    <n v="92970000"/>
    <n v="3740"/>
    <n v="7.7600000000000002E-2"/>
    <b v="0"/>
    <n v="2018"/>
    <x v="1"/>
    <s v="IPO"/>
    <n v="12.18"/>
    <n v="24858"/>
    <n v="7"/>
    <x v="3"/>
  </r>
  <r>
    <s v="Startup_77"/>
    <x v="7"/>
    <n v="5"/>
    <n v="105790000"/>
    <n v="734240000"/>
    <n v="70630000"/>
    <n v="3735"/>
    <n v="5.3699999999999998E-2"/>
    <b v="1"/>
    <n v="2007"/>
    <x v="2"/>
    <s v="IPO"/>
    <n v="6.94"/>
    <n v="18910"/>
    <n v="18"/>
    <x v="7"/>
  </r>
  <r>
    <s v="Startup_78"/>
    <x v="2"/>
    <n v="5"/>
    <n v="124130000"/>
    <n v="1311120000"/>
    <n v="63150000"/>
    <n v="2051"/>
    <n v="5.9499999999999997E-2"/>
    <b v="1"/>
    <n v="2004"/>
    <x v="0"/>
    <s v="IPO"/>
    <n v="10.56"/>
    <n v="30790"/>
    <n v="21"/>
    <x v="2"/>
  </r>
  <r>
    <s v="Startup_92"/>
    <x v="0"/>
    <n v="1"/>
    <n v="207320000"/>
    <n v="1971270000"/>
    <n v="4560000"/>
    <n v="1212"/>
    <n v="4.2200000000000001E-2"/>
    <b v="0"/>
    <n v="1994"/>
    <x v="3"/>
    <s v="IPO"/>
    <n v="9.51"/>
    <n v="3762"/>
    <n v="31"/>
    <x v="0"/>
  </r>
  <r>
    <s v="Startup_104"/>
    <x v="2"/>
    <n v="4"/>
    <n v="208110000"/>
    <n v="2489520000"/>
    <n v="4750000"/>
    <n v="2459"/>
    <n v="7.6499999999999999E-2"/>
    <b v="0"/>
    <n v="2001"/>
    <x v="1"/>
    <s v="IPO"/>
    <n v="11.96"/>
    <n v="1932"/>
    <n v="24"/>
    <x v="2"/>
  </r>
  <r>
    <s v="Startup_105"/>
    <x v="6"/>
    <n v="4"/>
    <n v="15950000"/>
    <n v="184790000"/>
    <n v="62010000"/>
    <n v="4499"/>
    <n v="5.4699999999999999E-2"/>
    <b v="0"/>
    <n v="2012"/>
    <x v="2"/>
    <s v="IPO"/>
    <n v="11.59"/>
    <n v="13783"/>
    <n v="13"/>
    <x v="6"/>
  </r>
  <r>
    <s v="Startup_123"/>
    <x v="6"/>
    <n v="5"/>
    <n v="193540000"/>
    <n v="1929820000"/>
    <n v="72540000"/>
    <n v="1868"/>
    <n v="1.7999999999999999E-2"/>
    <b v="1"/>
    <n v="2003"/>
    <x v="1"/>
    <s v="IPO"/>
    <n v="9.9700000000000006"/>
    <n v="38833"/>
    <n v="22"/>
    <x v="6"/>
  </r>
  <r>
    <s v="Startup_157"/>
    <x v="6"/>
    <n v="3"/>
    <n v="101240000"/>
    <n v="1192960000"/>
    <n v="97810000"/>
    <n v="3564"/>
    <n v="5.6300000000000003E-2"/>
    <b v="1"/>
    <n v="1994"/>
    <x v="0"/>
    <s v="IPO"/>
    <n v="11.78"/>
    <n v="27444"/>
    <n v="31"/>
    <x v="6"/>
  </r>
  <r>
    <s v="Startup_158"/>
    <x v="1"/>
    <n v="5"/>
    <n v="156990000"/>
    <n v="2074480000"/>
    <n v="79420000"/>
    <n v="3403"/>
    <n v="5.0599999999999999E-2"/>
    <b v="1"/>
    <n v="2015"/>
    <x v="2"/>
    <s v="IPO"/>
    <n v="13.21"/>
    <n v="23338"/>
    <n v="10"/>
    <x v="1"/>
  </r>
  <r>
    <s v="Startup_164"/>
    <x v="2"/>
    <n v="2"/>
    <n v="214810000"/>
    <n v="1038780000"/>
    <n v="75440000"/>
    <n v="29"/>
    <n v="4.87E-2"/>
    <b v="0"/>
    <n v="2012"/>
    <x v="4"/>
    <s v="IPO"/>
    <n v="4.84"/>
    <n v="2601379"/>
    <n v="13"/>
    <x v="2"/>
  </r>
  <r>
    <s v="Startup_177"/>
    <x v="5"/>
    <n v="4"/>
    <n v="265320000"/>
    <n v="1247350000"/>
    <n v="28310000"/>
    <n v="3180"/>
    <n v="8.0000000000000002E-3"/>
    <b v="0"/>
    <n v="2009"/>
    <x v="3"/>
    <s v="IPO"/>
    <n v="4.7"/>
    <n v="8903"/>
    <n v="16"/>
    <x v="5"/>
  </r>
  <r>
    <s v="Startup_181"/>
    <x v="0"/>
    <n v="2"/>
    <n v="223130000"/>
    <n v="1854790000"/>
    <n v="45220000"/>
    <n v="418"/>
    <n v="9.8199999999999996E-2"/>
    <b v="1"/>
    <n v="2011"/>
    <x v="1"/>
    <s v="IPO"/>
    <n v="8.31"/>
    <n v="108182"/>
    <n v="14"/>
    <x v="0"/>
  </r>
  <r>
    <s v="Startup_191"/>
    <x v="3"/>
    <n v="1"/>
    <n v="287200000"/>
    <n v="1774540000"/>
    <n v="31300000"/>
    <n v="2020"/>
    <n v="4.36E-2"/>
    <b v="0"/>
    <n v="2011"/>
    <x v="2"/>
    <s v="IPO"/>
    <n v="6.18"/>
    <n v="15495"/>
    <n v="14"/>
    <x v="3"/>
  </r>
  <r>
    <s v="Startup_209"/>
    <x v="0"/>
    <n v="1"/>
    <n v="258110000"/>
    <n v="936440000"/>
    <n v="31380000"/>
    <n v="3706"/>
    <n v="9.9000000000000005E-2"/>
    <b v="0"/>
    <n v="1998"/>
    <x v="0"/>
    <s v="IPO"/>
    <n v="3.63"/>
    <n v="8467"/>
    <n v="27"/>
    <x v="0"/>
  </r>
  <r>
    <s v="Startup_211"/>
    <x v="6"/>
    <n v="5"/>
    <n v="117660000"/>
    <n v="865430000"/>
    <n v="96780000"/>
    <n v="1593"/>
    <n v="9.4200000000000006E-2"/>
    <b v="1"/>
    <n v="1996"/>
    <x v="2"/>
    <s v="IPO"/>
    <n v="7.36"/>
    <n v="60753"/>
    <n v="29"/>
    <x v="6"/>
  </r>
  <r>
    <s v="Startup_245"/>
    <x v="1"/>
    <n v="5"/>
    <n v="71990000"/>
    <n v="412380000"/>
    <n v="24510000"/>
    <n v="672"/>
    <n v="4.5600000000000002E-2"/>
    <b v="0"/>
    <n v="1990"/>
    <x v="2"/>
    <s v="IPO"/>
    <n v="5.73"/>
    <n v="36473"/>
    <n v="35"/>
    <x v="1"/>
  </r>
  <r>
    <s v="Startup_246"/>
    <x v="3"/>
    <n v="3"/>
    <n v="279060000"/>
    <n v="1981350000"/>
    <n v="11380000"/>
    <n v="4733"/>
    <n v="6.7500000000000004E-2"/>
    <b v="0"/>
    <n v="2017"/>
    <x v="1"/>
    <s v="IPO"/>
    <n v="7.1"/>
    <n v="2404"/>
    <n v="8"/>
    <x v="3"/>
  </r>
  <r>
    <s v="Startup_249"/>
    <x v="4"/>
    <n v="3"/>
    <n v="57170000"/>
    <n v="335510000"/>
    <n v="42070000"/>
    <n v="4528"/>
    <n v="2.5700000000000001E-2"/>
    <b v="1"/>
    <n v="2013"/>
    <x v="0"/>
    <s v="IPO"/>
    <n v="5.87"/>
    <n v="9291"/>
    <n v="12"/>
    <x v="4"/>
  </r>
  <r>
    <s v="Startup_258"/>
    <x v="1"/>
    <n v="5"/>
    <n v="840000"/>
    <n v="8230000"/>
    <n v="84390000"/>
    <n v="475"/>
    <n v="7.7499999999999999E-2"/>
    <b v="0"/>
    <n v="2016"/>
    <x v="2"/>
    <s v="IPO"/>
    <n v="9.8000000000000007"/>
    <n v="177663"/>
    <n v="9"/>
    <x v="1"/>
  </r>
  <r>
    <s v="Startup_261"/>
    <x v="5"/>
    <n v="1"/>
    <n v="77980000"/>
    <n v="605600000"/>
    <n v="73960000"/>
    <n v="2015"/>
    <n v="6.0000000000000001E-3"/>
    <b v="1"/>
    <n v="1991"/>
    <x v="0"/>
    <s v="IPO"/>
    <n v="7.77"/>
    <n v="36705"/>
    <n v="34"/>
    <x v="5"/>
  </r>
  <r>
    <s v="Startup_265"/>
    <x v="7"/>
    <n v="1"/>
    <n v="168170000"/>
    <n v="1579080000"/>
    <n v="68200000"/>
    <n v="3993"/>
    <n v="5.4699999999999999E-2"/>
    <b v="1"/>
    <n v="2014"/>
    <x v="3"/>
    <s v="IPO"/>
    <n v="9.39"/>
    <n v="17080"/>
    <n v="11"/>
    <x v="7"/>
  </r>
  <r>
    <s v="Startup_299"/>
    <x v="4"/>
    <n v="2"/>
    <n v="76130000"/>
    <n v="1006240000"/>
    <n v="96630000"/>
    <n v="1883"/>
    <n v="4.3099999999999999E-2"/>
    <b v="0"/>
    <n v="2009"/>
    <x v="2"/>
    <s v="IPO"/>
    <n v="13.22"/>
    <n v="51317"/>
    <n v="16"/>
    <x v="4"/>
  </r>
  <r>
    <s v="Startup_310"/>
    <x v="7"/>
    <n v="3"/>
    <n v="231960000"/>
    <n v="2420260000"/>
    <n v="53310000"/>
    <n v="1466"/>
    <n v="4.0300000000000002E-2"/>
    <b v="0"/>
    <n v="2011"/>
    <x v="1"/>
    <s v="IPO"/>
    <n v="10.43"/>
    <n v="36364"/>
    <n v="14"/>
    <x v="7"/>
  </r>
  <r>
    <s v="Startup_341"/>
    <x v="6"/>
    <n v="4"/>
    <n v="273590000"/>
    <n v="2732010000"/>
    <n v="22100000"/>
    <n v="1406"/>
    <n v="3.8E-3"/>
    <b v="1"/>
    <n v="2003"/>
    <x v="3"/>
    <s v="IPO"/>
    <n v="9.99"/>
    <n v="15718"/>
    <n v="22"/>
    <x v="6"/>
  </r>
  <r>
    <s v="Startup_361"/>
    <x v="5"/>
    <n v="5"/>
    <n v="292420000"/>
    <n v="3721990000"/>
    <n v="64000000"/>
    <n v="1529"/>
    <n v="2.6200000000000001E-2"/>
    <b v="1"/>
    <n v="2016"/>
    <x v="3"/>
    <s v="IPO"/>
    <n v="12.73"/>
    <n v="41857"/>
    <n v="9"/>
    <x v="5"/>
  </r>
  <r>
    <s v="Startup_367"/>
    <x v="7"/>
    <n v="4"/>
    <n v="217420000"/>
    <n v="918770000"/>
    <n v="26340000"/>
    <n v="3901"/>
    <n v="8.1100000000000005E-2"/>
    <b v="0"/>
    <n v="2021"/>
    <x v="4"/>
    <s v="IPO"/>
    <n v="4.2300000000000004"/>
    <n v="6752"/>
    <n v="4"/>
    <x v="7"/>
  </r>
  <r>
    <s v="Startup_381"/>
    <x v="7"/>
    <n v="3"/>
    <n v="25210000"/>
    <n v="344690000"/>
    <n v="47350000"/>
    <n v="3290"/>
    <n v="3.5099999999999999E-2"/>
    <b v="0"/>
    <n v="2009"/>
    <x v="3"/>
    <s v="IPO"/>
    <n v="13.67"/>
    <n v="14392"/>
    <n v="16"/>
    <x v="7"/>
  </r>
  <r>
    <s v="Startup_398"/>
    <x v="5"/>
    <n v="2"/>
    <n v="280590000"/>
    <n v="4110360000"/>
    <n v="27850000"/>
    <n v="984"/>
    <n v="3.5200000000000002E-2"/>
    <b v="1"/>
    <n v="2011"/>
    <x v="1"/>
    <s v="IPO"/>
    <n v="14.65"/>
    <n v="28303"/>
    <n v="14"/>
    <x v="5"/>
  </r>
  <r>
    <s v="Startup_403"/>
    <x v="2"/>
    <n v="2"/>
    <n v="145580000"/>
    <n v="1396900000"/>
    <n v="88000000"/>
    <n v="237"/>
    <n v="6.3799999999999996E-2"/>
    <b v="0"/>
    <n v="1997"/>
    <x v="4"/>
    <s v="IPO"/>
    <n v="9.6"/>
    <n v="371308"/>
    <n v="28"/>
    <x v="2"/>
  </r>
  <r>
    <s v="Startup_411"/>
    <x v="1"/>
    <n v="3"/>
    <n v="131860000"/>
    <n v="756100000"/>
    <n v="39050000"/>
    <n v="3436"/>
    <n v="3.4200000000000001E-2"/>
    <b v="0"/>
    <n v="2008"/>
    <x v="4"/>
    <s v="IPO"/>
    <n v="5.73"/>
    <n v="11365"/>
    <n v="17"/>
    <x v="1"/>
  </r>
  <r>
    <s v="Startup_435"/>
    <x v="0"/>
    <n v="1"/>
    <n v="52670000"/>
    <n v="505690000"/>
    <n v="40480000"/>
    <n v="2505"/>
    <n v="6.8199999999999997E-2"/>
    <b v="1"/>
    <n v="2014"/>
    <x v="0"/>
    <s v="IPO"/>
    <n v="9.6"/>
    <n v="16160"/>
    <n v="11"/>
    <x v="0"/>
  </r>
  <r>
    <s v="Startup_443"/>
    <x v="0"/>
    <n v="5"/>
    <n v="163220000"/>
    <n v="2433440000"/>
    <n v="50270000"/>
    <n v="2572"/>
    <n v="8.8700000000000001E-2"/>
    <b v="1"/>
    <n v="2012"/>
    <x v="4"/>
    <s v="IPO"/>
    <n v="14.91"/>
    <n v="19545"/>
    <n v="13"/>
    <x v="0"/>
  </r>
  <r>
    <s v="Startup_450"/>
    <x v="7"/>
    <n v="2"/>
    <n v="237990000"/>
    <n v="1345300000"/>
    <n v="53050000"/>
    <n v="2385"/>
    <n v="4.7E-2"/>
    <b v="0"/>
    <n v="2003"/>
    <x v="0"/>
    <s v="IPO"/>
    <n v="5.65"/>
    <n v="22243"/>
    <n v="22"/>
    <x v="7"/>
  </r>
  <r>
    <s v="Startup_452"/>
    <x v="5"/>
    <n v="1"/>
    <n v="297640000"/>
    <n v="3565220000"/>
    <n v="99130000"/>
    <n v="4963"/>
    <n v="2.1100000000000001E-2"/>
    <b v="1"/>
    <n v="2019"/>
    <x v="3"/>
    <s v="IPO"/>
    <n v="11.98"/>
    <n v="19974"/>
    <n v="6"/>
    <x v="5"/>
  </r>
  <r>
    <s v="Startup_473"/>
    <x v="4"/>
    <n v="1"/>
    <n v="29030000"/>
    <n v="139890000"/>
    <n v="38490000"/>
    <n v="249"/>
    <n v="4.5600000000000002E-2"/>
    <b v="1"/>
    <n v="1993"/>
    <x v="2"/>
    <s v="IPO"/>
    <n v="4.82"/>
    <n v="154578"/>
    <n v="32"/>
    <x v="4"/>
  </r>
  <r>
    <s v="Startup_478"/>
    <x v="0"/>
    <n v="4"/>
    <n v="3200000"/>
    <n v="15780000"/>
    <n v="88980000"/>
    <n v="2414"/>
    <n v="5.1999999999999998E-3"/>
    <b v="0"/>
    <n v="1990"/>
    <x v="4"/>
    <s v="IPO"/>
    <n v="4.93"/>
    <n v="36860"/>
    <n v="35"/>
    <x v="0"/>
  </r>
  <r>
    <s v="Startup_483"/>
    <x v="5"/>
    <n v="4"/>
    <n v="70780000"/>
    <n v="448380000"/>
    <n v="52630000"/>
    <n v="4595"/>
    <n v="7.0999999999999994E-2"/>
    <b v="0"/>
    <n v="2013"/>
    <x v="0"/>
    <s v="IPO"/>
    <n v="6.33"/>
    <n v="11454"/>
    <n v="12"/>
    <x v="5"/>
  </r>
  <r>
    <s v="Startup_495"/>
    <x v="5"/>
    <n v="4"/>
    <n v="114120000"/>
    <n v="1503710000"/>
    <n v="79190000"/>
    <n v="4014"/>
    <n v="1.1299999999999999E-2"/>
    <b v="1"/>
    <n v="2015"/>
    <x v="2"/>
    <s v="IPO"/>
    <n v="13.18"/>
    <n v="19728"/>
    <n v="10"/>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49A32B-C67B-4D9F-9874-422C2AB42B17}" name="PivotTable3" cacheId="369" applyNumberFormats="0" applyBorderFormats="0" applyFontFormats="0" applyPatternFormats="0" applyAlignmentFormats="0" applyWidthHeightFormats="1" dataCaption="Values" tag="643ee469-ba56-4faa-8ab2-461466bbdfc0" updatedVersion="8" minRefreshableVersion="3" useAutoFormatting="1" itemPrintTitles="1" createdVersion="8" indent="0" outline="1" outlineData="1" multipleFieldFilters="0" chartFormat="4">
  <location ref="F1:G10" firstHeaderRow="1" firstDataRow="1" firstDataCol="1"/>
  <pivotFields count="3">
    <pivotField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s>
  <rowFields count="1">
    <field x="1"/>
  </rowFields>
  <rowItems count="9">
    <i>
      <x/>
    </i>
    <i>
      <x v="1"/>
    </i>
    <i>
      <x v="2"/>
    </i>
    <i>
      <x v="3"/>
    </i>
    <i>
      <x v="4"/>
    </i>
    <i>
      <x v="5"/>
    </i>
    <i>
      <x v="6"/>
    </i>
    <i>
      <x v="7"/>
    </i>
    <i t="grand">
      <x/>
    </i>
  </rowItems>
  <colItems count="1">
    <i/>
  </colItems>
  <dataFields count="1">
    <dataField name="Average of RevenuePerEmployee" fld="2" subtotal="average" baseField="1" baseItem="0" numFmtId="166"/>
  </dataFields>
  <formats count="2">
    <format dxfId="16">
      <pivotArea dataOnly="0" labelOnly="1" outline="0" axis="axisValues" fieldPosition="0"/>
    </format>
    <format dxfId="15">
      <pivotArea outline="0" collapsedLevelsAreSubtotals="1" fieldPosition="0"/>
    </format>
  </formats>
  <chartFormats count="1">
    <chartFormat chart="3" format="3" series="1">
      <pivotArea type="data" outline="0" fieldPosition="0">
        <references count="1">
          <reference field="4294967294" count="1" selected="0">
            <x v="0"/>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RevenuePerEmploye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8">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8709452-F54D-42C4-B004-D27641A21191}" name="PivotTable1" cacheId="30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C501" firstHeaderRow="0" firstDataRow="1" firstDataCol="1"/>
  <pivotFields count="4">
    <pivotField axis="axisRow" allDrilled="1" subtotalTop="0" showAll="0" dataSourceSort="1" defaultSubtotal="0" defaultAttributeDrillState="1">
      <items count="5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rowItems>
  <colFields count="1">
    <field x="-2"/>
  </colFields>
  <colItems count="2">
    <i>
      <x/>
    </i>
    <i i="1">
      <x v="1"/>
    </i>
  </colItems>
  <dataFields count="2">
    <dataField name="Sum of Funding Amount" fld="1" baseField="0" baseItem="0"/>
    <dataField name="Sum of Revenue" fld="2" baseField="0" baseItem="0"/>
  </dataFields>
  <pivotHierarchies count="46">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C3CFC85-505E-45D5-8CE4-50B210CA13CD}" name="PivotTable4" cacheId="372" applyNumberFormats="0" applyBorderFormats="0" applyFontFormats="0" applyPatternFormats="0" applyAlignmentFormats="0" applyWidthHeightFormats="1" dataCaption="Values" tag="78eeded9-a48d-4cd4-8e28-4cfe1273260d" updatedVersion="8" minRefreshableVersion="3" useAutoFormatting="1" itemPrintTitles="1" createdVersion="8" indent="0" outline="1" outlineData="1" multipleFieldFilters="0" chartFormat="4">
  <location ref="F14:H23" firstHeaderRow="0" firstDataRow="1" firstDataCol="1"/>
  <pivotFields count="3">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dataField="1" subtotalTop="0" showAll="0" defaultSubtotal="0"/>
  </pivotFields>
  <rowFields count="1">
    <field x="0"/>
  </rowFields>
  <rowItems count="9">
    <i>
      <x/>
    </i>
    <i>
      <x v="1"/>
    </i>
    <i>
      <x v="2"/>
    </i>
    <i>
      <x v="3"/>
    </i>
    <i>
      <x v="4"/>
    </i>
    <i>
      <x v="5"/>
    </i>
    <i>
      <x v="6"/>
    </i>
    <i>
      <x v="7"/>
    </i>
    <i t="grand">
      <x/>
    </i>
  </rowItems>
  <colFields count="1">
    <field x="-2"/>
  </colFields>
  <colItems count="2">
    <i>
      <x/>
    </i>
    <i i="1">
      <x v="1"/>
    </i>
  </colItems>
  <dataFields count="2">
    <dataField name="Sum of Revenue" fld="1" baseField="0" baseItem="0"/>
    <dataField name="Sum of Market Share (%)" fld="2" baseField="0" baseItem="0"/>
  </dataFields>
  <formats count="1">
    <format dxfId="17">
      <pivotArea outline="0" collapsedLevelsAreSubtotals="1" fieldPosition="0">
        <references count="1">
          <reference field="4294967294" count="1" selected="0">
            <x v="1"/>
          </reference>
        </references>
      </pivotArea>
    </format>
  </formats>
  <chartFormats count="18">
    <chartFormat chart="2" format="11" series="1">
      <pivotArea type="data" outline="0" fieldPosition="0">
        <references count="1">
          <reference field="4294967294" count="1" selected="0">
            <x v="0"/>
          </reference>
        </references>
      </pivotArea>
    </chartFormat>
    <chartFormat chart="2" format="12" series="1">
      <pivotArea type="data" outline="0" fieldPosition="0">
        <references count="1">
          <reference field="4294967294" count="1" selected="0">
            <x v="1"/>
          </reference>
        </references>
      </pivotArea>
    </chartFormat>
    <chartFormat chart="2" format="13">
      <pivotArea type="data" outline="0" fieldPosition="0">
        <references count="2">
          <reference field="4294967294" count="1" selected="0">
            <x v="1"/>
          </reference>
          <reference field="0" count="1" selected="0">
            <x v="0"/>
          </reference>
        </references>
      </pivotArea>
    </chartFormat>
    <chartFormat chart="2" format="14">
      <pivotArea type="data" outline="0" fieldPosition="0">
        <references count="2">
          <reference field="4294967294" count="1" selected="0">
            <x v="1"/>
          </reference>
          <reference field="0" count="1" selected="0">
            <x v="1"/>
          </reference>
        </references>
      </pivotArea>
    </chartFormat>
    <chartFormat chart="2" format="15">
      <pivotArea type="data" outline="0" fieldPosition="0">
        <references count="2">
          <reference field="4294967294" count="1" selected="0">
            <x v="1"/>
          </reference>
          <reference field="0" count="1" selected="0">
            <x v="2"/>
          </reference>
        </references>
      </pivotArea>
    </chartFormat>
    <chartFormat chart="2" format="16">
      <pivotArea type="data" outline="0" fieldPosition="0">
        <references count="2">
          <reference field="4294967294" count="1" selected="0">
            <x v="1"/>
          </reference>
          <reference field="0" count="1" selected="0">
            <x v="3"/>
          </reference>
        </references>
      </pivotArea>
    </chartFormat>
    <chartFormat chart="2" format="17">
      <pivotArea type="data" outline="0" fieldPosition="0">
        <references count="2">
          <reference field="4294967294" count="1" selected="0">
            <x v="1"/>
          </reference>
          <reference field="0" count="1" selected="0">
            <x v="5"/>
          </reference>
        </references>
      </pivotArea>
    </chartFormat>
    <chartFormat chart="2" format="18">
      <pivotArea type="data" outline="0" fieldPosition="0">
        <references count="2">
          <reference field="4294967294" count="1" selected="0">
            <x v="1"/>
          </reference>
          <reference field="0" count="1" selected="0">
            <x v="6"/>
          </reference>
        </references>
      </pivotArea>
    </chartFormat>
    <chartFormat chart="2" format="19">
      <pivotArea type="data" outline="0" fieldPosition="0">
        <references count="2">
          <reference field="4294967294" count="1" selected="0">
            <x v="1"/>
          </reference>
          <reference field="0" count="1" selected="0">
            <x v="7"/>
          </reference>
        </references>
      </pivotArea>
    </chartFormat>
    <chartFormat chart="3" format="20" series="1">
      <pivotArea type="data" outline="0" fieldPosition="0">
        <references count="1">
          <reference field="4294967294" count="1" selected="0">
            <x v="0"/>
          </reference>
        </references>
      </pivotArea>
    </chartFormat>
    <chartFormat chart="3" format="21" series="1">
      <pivotArea type="data" outline="0" fieldPosition="0">
        <references count="1">
          <reference field="4294967294" count="1" selected="0">
            <x v="1"/>
          </reference>
        </references>
      </pivotArea>
    </chartFormat>
    <chartFormat chart="3" format="22">
      <pivotArea type="data" outline="0" fieldPosition="0">
        <references count="2">
          <reference field="4294967294" count="1" selected="0">
            <x v="1"/>
          </reference>
          <reference field="0" count="1" selected="0">
            <x v="0"/>
          </reference>
        </references>
      </pivotArea>
    </chartFormat>
    <chartFormat chart="3" format="23">
      <pivotArea type="data" outline="0" fieldPosition="0">
        <references count="2">
          <reference field="4294967294" count="1" selected="0">
            <x v="1"/>
          </reference>
          <reference field="0" count="1" selected="0">
            <x v="1"/>
          </reference>
        </references>
      </pivotArea>
    </chartFormat>
    <chartFormat chart="3" format="24">
      <pivotArea type="data" outline="0" fieldPosition="0">
        <references count="2">
          <reference field="4294967294" count="1" selected="0">
            <x v="1"/>
          </reference>
          <reference field="0" count="1" selected="0">
            <x v="2"/>
          </reference>
        </references>
      </pivotArea>
    </chartFormat>
    <chartFormat chart="3" format="25">
      <pivotArea type="data" outline="0" fieldPosition="0">
        <references count="2">
          <reference field="4294967294" count="1" selected="0">
            <x v="1"/>
          </reference>
          <reference field="0" count="1" selected="0">
            <x v="3"/>
          </reference>
        </references>
      </pivotArea>
    </chartFormat>
    <chartFormat chart="3" format="26">
      <pivotArea type="data" outline="0" fieldPosition="0">
        <references count="2">
          <reference field="4294967294" count="1" selected="0">
            <x v="1"/>
          </reference>
          <reference field="0" count="1" selected="0">
            <x v="5"/>
          </reference>
        </references>
      </pivotArea>
    </chartFormat>
    <chartFormat chart="3" format="27">
      <pivotArea type="data" outline="0" fieldPosition="0">
        <references count="2">
          <reference field="4294967294" count="1" selected="0">
            <x v="1"/>
          </reference>
          <reference field="0" count="1" selected="0">
            <x v="6"/>
          </reference>
        </references>
      </pivotArea>
    </chartFormat>
    <chartFormat chart="3" format="28">
      <pivotArea type="data" outline="0" fieldPosition="0">
        <references count="2">
          <reference field="4294967294" count="1" selected="0">
            <x v="1"/>
          </reference>
          <reference field="0" count="1" selected="0">
            <x v="7"/>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23E996D-0284-4009-9705-198FFCB64DAD}" name="PivotTable3" cacheId="466" applyNumberFormats="0" applyBorderFormats="0" applyFontFormats="0" applyPatternFormats="0" applyAlignmentFormats="0" applyWidthHeightFormats="1" dataCaption="Values" tag="c1dfb0cf-d1d8-44fc-aefd-dab33de3f5b4" updatedVersion="8" minRefreshableVersion="3" useAutoFormatting="1" rowGrandTotals="0" colGrandTotals="0" itemPrintTitles="1" createdVersion="8" indent="0" outline="1" outlineData="1" multipleFieldFilters="0" chartFormat="4">
  <location ref="A14:C23" firstHeaderRow="1" firstDataRow="2" firstDataCol="1"/>
  <pivotFields count="4">
    <pivotField axis="axisCol" allDrilled="1" subtotalTop="0" showAll="0" dataSourceSort="1" defaultSubtotal="0" defaultAttributeDrillState="1">
      <items count="2">
        <item n="Non Profitable" x="0"/>
        <item n="Profitable" x="1"/>
      </items>
    </pivotField>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1"/>
  </rowFields>
  <rowItems count="8">
    <i>
      <x/>
    </i>
    <i>
      <x v="1"/>
    </i>
    <i>
      <x v="2"/>
    </i>
    <i>
      <x v="3"/>
    </i>
    <i>
      <x v="4"/>
    </i>
    <i>
      <x v="5"/>
    </i>
    <i>
      <x v="6"/>
    </i>
    <i>
      <x v="7"/>
    </i>
  </rowItems>
  <colFields count="1">
    <field x="0"/>
  </colFields>
  <colItems count="2">
    <i>
      <x/>
    </i>
    <i>
      <x v="1"/>
    </i>
  </colItems>
  <dataFields count="1">
    <dataField name="Average of RevenuePerEmployee" fld="2" subtotal="average" baseField="1" baseItem="0"/>
  </dataFields>
  <formats count="5">
    <format dxfId="13">
      <pivotArea grandCol="1" outline="0" collapsedLevelsAreSubtotals="1" fieldPosition="0"/>
    </format>
    <format dxfId="12">
      <pivotArea dataOnly="0" labelOnly="1" grandCol="1" outline="0" fieldPosition="0"/>
    </format>
    <format dxfId="11">
      <pivotArea dataOnly="0" outline="0" fieldPosition="0">
        <references count="1">
          <reference field="0" count="1">
            <x v="0"/>
          </reference>
        </references>
      </pivotArea>
    </format>
    <format dxfId="10">
      <pivotArea outline="0" collapsedLevelsAreSubtotals="1" fieldPosition="0">
        <references count="1">
          <reference field="0" count="1" selected="0">
            <x v="1"/>
          </reference>
        </references>
      </pivotArea>
    </format>
    <format dxfId="9">
      <pivotArea dataOnly="0" labelOnly="1" fieldPosition="0">
        <references count="1">
          <reference field="0" count="1">
            <x v="1"/>
          </reference>
        </references>
      </pivotArea>
    </format>
  </formats>
  <chartFormats count="4">
    <chartFormat chart="2" format="2" series="1">
      <pivotArea type="data" outline="0" fieldPosition="0">
        <references count="2">
          <reference field="4294967294" count="1" selected="0">
            <x v="0"/>
          </reference>
          <reference field="0" count="1" selected="0">
            <x v="0"/>
          </reference>
        </references>
      </pivotArea>
    </chartFormat>
    <chartFormat chart="2" format="3" series="1">
      <pivotArea type="data" outline="0" fieldPosition="0">
        <references count="2">
          <reference field="4294967294" count="1" selected="0">
            <x v="0"/>
          </reference>
          <reference field="0" count="1" selected="0">
            <x v="1"/>
          </reference>
        </references>
      </pivotArea>
    </chartFormat>
    <chartFormat chart="3" format="4" series="1">
      <pivotArea type="data" outline="0" fieldPosition="0">
        <references count="2">
          <reference field="4294967294" count="1" selected="0">
            <x v="0"/>
          </reference>
          <reference field="0" count="1" selected="0">
            <x v="0"/>
          </reference>
        </references>
      </pivotArea>
    </chartFormat>
    <chartFormat chart="3" format="5" series="1">
      <pivotArea type="data" outline="0" fieldPosition="0">
        <references count="2">
          <reference field="4294967294" count="1" selected="0">
            <x v="0"/>
          </reference>
          <reference field="0" count="1" selected="0">
            <x v="1"/>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RevenuePerEmploye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31BD610-5A12-4A27-A734-08F56708FAD1}" name="PivotTable2" cacheId="463" applyNumberFormats="0" applyBorderFormats="0" applyFontFormats="0" applyPatternFormats="0" applyAlignmentFormats="0" applyWidthHeightFormats="1" dataCaption="Values" tag="dc2713d9-3615-47be-b3b6-04ded0d37401" updatedVersion="8" minRefreshableVersion="3" useAutoFormatting="1" subtotalHiddenItems="1" itemPrintTitles="1" createdVersion="8" indent="0" outline="1" outlineData="1" multipleFieldFilters="0" chartFormat="5">
  <location ref="D1:G11" firstHeaderRow="1" firstDataRow="2" firstDataCol="1"/>
  <pivotFields count="4">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 axis="axisCol" allDrilled="1" subtotalTop="0" showAll="0" dataSourceSort="1" defaultSubtotal="0" defaultAttributeDrillState="1">
      <items count="2">
        <item n="Non Profitable" x="0"/>
        <item n="Profitable" x="1"/>
      </items>
    </pivotField>
    <pivotField allDrilled="1" subtotalTop="0" showAll="0" dataSourceSort="1" defaultSubtotal="0" defaultAttributeDrillState="1"/>
  </pivotFields>
  <rowFields count="1">
    <field x="1"/>
  </rowFields>
  <rowItems count="9">
    <i>
      <x/>
    </i>
    <i>
      <x v="1"/>
    </i>
    <i>
      <x v="2"/>
    </i>
    <i>
      <x v="3"/>
    </i>
    <i>
      <x v="4"/>
    </i>
    <i>
      <x v="5"/>
    </i>
    <i>
      <x v="6"/>
    </i>
    <i>
      <x v="7"/>
    </i>
    <i t="grand">
      <x/>
    </i>
  </rowItems>
  <colFields count="1">
    <field x="2"/>
  </colFields>
  <colItems count="3">
    <i>
      <x/>
    </i>
    <i>
      <x v="1"/>
    </i>
    <i t="grand">
      <x/>
    </i>
  </colItems>
  <dataFields count="1">
    <dataField name="Average of Funding Amount" fld="0" subtotal="average" baseField="0" baseItem="0"/>
  </dataFields>
  <chartFormats count="17">
    <chartFormat chart="4" format="35" series="1">
      <pivotArea type="data" outline="0" fieldPosition="0">
        <references count="2">
          <reference field="4294967294" count="1" selected="0">
            <x v="0"/>
          </reference>
          <reference field="2" count="1" selected="0">
            <x v="0"/>
          </reference>
        </references>
      </pivotArea>
    </chartFormat>
    <chartFormat chart="4" format="36">
      <pivotArea type="data" outline="0" fieldPosition="0">
        <references count="3">
          <reference field="4294967294" count="1" selected="0">
            <x v="0"/>
          </reference>
          <reference field="1" count="1" selected="0">
            <x v="0"/>
          </reference>
          <reference field="2" count="1" selected="0">
            <x v="0"/>
          </reference>
        </references>
      </pivotArea>
    </chartFormat>
    <chartFormat chart="4" format="37">
      <pivotArea type="data" outline="0" fieldPosition="0">
        <references count="3">
          <reference field="4294967294" count="1" selected="0">
            <x v="0"/>
          </reference>
          <reference field="1" count="1" selected="0">
            <x v="1"/>
          </reference>
          <reference field="2" count="1" selected="0">
            <x v="0"/>
          </reference>
        </references>
      </pivotArea>
    </chartFormat>
    <chartFormat chart="4" format="38">
      <pivotArea type="data" outline="0" fieldPosition="0">
        <references count="3">
          <reference field="4294967294" count="1" selected="0">
            <x v="0"/>
          </reference>
          <reference field="1" count="1" selected="0">
            <x v="2"/>
          </reference>
          <reference field="2" count="1" selected="0">
            <x v="0"/>
          </reference>
        </references>
      </pivotArea>
    </chartFormat>
    <chartFormat chart="4" format="39">
      <pivotArea type="data" outline="0" fieldPosition="0">
        <references count="3">
          <reference field="4294967294" count="1" selected="0">
            <x v="0"/>
          </reference>
          <reference field="1" count="1" selected="0">
            <x v="3"/>
          </reference>
          <reference field="2" count="1" selected="0">
            <x v="0"/>
          </reference>
        </references>
      </pivotArea>
    </chartFormat>
    <chartFormat chart="4" format="40">
      <pivotArea type="data" outline="0" fieldPosition="0">
        <references count="3">
          <reference field="4294967294" count="1" selected="0">
            <x v="0"/>
          </reference>
          <reference field="1" count="1" selected="0">
            <x v="4"/>
          </reference>
          <reference field="2" count="1" selected="0">
            <x v="0"/>
          </reference>
        </references>
      </pivotArea>
    </chartFormat>
    <chartFormat chart="4" format="41">
      <pivotArea type="data" outline="0" fieldPosition="0">
        <references count="3">
          <reference field="4294967294" count="1" selected="0">
            <x v="0"/>
          </reference>
          <reference field="1" count="1" selected="0">
            <x v="5"/>
          </reference>
          <reference field="2" count="1" selected="0">
            <x v="0"/>
          </reference>
        </references>
      </pivotArea>
    </chartFormat>
    <chartFormat chart="4" format="42">
      <pivotArea type="data" outline="0" fieldPosition="0">
        <references count="3">
          <reference field="4294967294" count="1" selected="0">
            <x v="0"/>
          </reference>
          <reference field="1" count="1" selected="0">
            <x v="6"/>
          </reference>
          <reference field="2" count="1" selected="0">
            <x v="0"/>
          </reference>
        </references>
      </pivotArea>
    </chartFormat>
    <chartFormat chart="4" format="43">
      <pivotArea type="data" outline="0" fieldPosition="0">
        <references count="3">
          <reference field="4294967294" count="1" selected="0">
            <x v="0"/>
          </reference>
          <reference field="1" count="1" selected="0">
            <x v="7"/>
          </reference>
          <reference field="2" count="1" selected="0">
            <x v="0"/>
          </reference>
        </references>
      </pivotArea>
    </chartFormat>
    <chartFormat chart="4" format="44" series="1">
      <pivotArea type="data" outline="0" fieldPosition="0">
        <references count="2">
          <reference field="4294967294" count="1" selected="0">
            <x v="0"/>
          </reference>
          <reference field="2" count="1" selected="0">
            <x v="1"/>
          </reference>
        </references>
      </pivotArea>
    </chartFormat>
    <chartFormat chart="4" format="45">
      <pivotArea type="data" outline="0" fieldPosition="0">
        <references count="3">
          <reference field="4294967294" count="1" selected="0">
            <x v="0"/>
          </reference>
          <reference field="1" count="1" selected="0">
            <x v="1"/>
          </reference>
          <reference field="2" count="1" selected="0">
            <x v="1"/>
          </reference>
        </references>
      </pivotArea>
    </chartFormat>
    <chartFormat chart="4" format="46">
      <pivotArea type="data" outline="0" fieldPosition="0">
        <references count="3">
          <reference field="4294967294" count="1" selected="0">
            <x v="0"/>
          </reference>
          <reference field="1" count="1" selected="0">
            <x v="2"/>
          </reference>
          <reference field="2" count="1" selected="0">
            <x v="1"/>
          </reference>
        </references>
      </pivotArea>
    </chartFormat>
    <chartFormat chart="4" format="47">
      <pivotArea type="data" outline="0" fieldPosition="0">
        <references count="3">
          <reference field="4294967294" count="1" selected="0">
            <x v="0"/>
          </reference>
          <reference field="1" count="1" selected="0">
            <x v="3"/>
          </reference>
          <reference field="2" count="1" selected="0">
            <x v="1"/>
          </reference>
        </references>
      </pivotArea>
    </chartFormat>
    <chartFormat chart="4" format="48">
      <pivotArea type="data" outline="0" fieldPosition="0">
        <references count="3">
          <reference field="4294967294" count="1" selected="0">
            <x v="0"/>
          </reference>
          <reference field="1" count="1" selected="0">
            <x v="4"/>
          </reference>
          <reference field="2" count="1" selected="0">
            <x v="1"/>
          </reference>
        </references>
      </pivotArea>
    </chartFormat>
    <chartFormat chart="4" format="49">
      <pivotArea type="data" outline="0" fieldPosition="0">
        <references count="3">
          <reference field="4294967294" count="1" selected="0">
            <x v="0"/>
          </reference>
          <reference field="1" count="1" selected="0">
            <x v="5"/>
          </reference>
          <reference field="2" count="1" selected="0">
            <x v="1"/>
          </reference>
        </references>
      </pivotArea>
    </chartFormat>
    <chartFormat chart="4" format="50">
      <pivotArea type="data" outline="0" fieldPosition="0">
        <references count="3">
          <reference field="4294967294" count="1" selected="0">
            <x v="0"/>
          </reference>
          <reference field="1" count="1" selected="0">
            <x v="6"/>
          </reference>
          <reference field="2" count="1" selected="0">
            <x v="1"/>
          </reference>
        </references>
      </pivotArea>
    </chartFormat>
    <chartFormat chart="4" format="51">
      <pivotArea type="data" outline="0" fieldPosition="0">
        <references count="3">
          <reference field="4294967294" count="1" selected="0">
            <x v="0"/>
          </reference>
          <reference field="1" count="1" selected="0">
            <x v="7"/>
          </reference>
          <reference field="2" count="1" selected="0">
            <x v="1"/>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Funding Amount"/>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ED4AF5A-ABD5-4C77-A992-B02C2EFCAD18}" name="PivotTable1" cacheId="469" applyNumberFormats="0" applyBorderFormats="0" applyFontFormats="0" applyPatternFormats="0" applyAlignmentFormats="0" applyWidthHeightFormats="1" dataCaption="Values" tag="0227e2b0-56b1-4775-a805-2109275d5893" updatedVersion="8" minRefreshableVersion="3" useAutoFormatting="1" subtotalHiddenItems="1" itemPrintTitles="1" createdVersion="8" indent="0" outline="1" outlineData="1" multipleFieldFilters="0" chartFormat="5">
  <location ref="A1:B10" firstHeaderRow="1" firstDataRow="1" firstDataCol="1"/>
  <pivotFields count="3">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0"/>
  </rowFields>
  <rowItems count="9">
    <i>
      <x/>
    </i>
    <i>
      <x v="1"/>
    </i>
    <i>
      <x v="2"/>
    </i>
    <i>
      <x v="3"/>
    </i>
    <i>
      <x v="4"/>
    </i>
    <i>
      <x v="5"/>
    </i>
    <i>
      <x v="6"/>
    </i>
    <i>
      <x v="7"/>
    </i>
    <i t="grand">
      <x/>
    </i>
  </rowItems>
  <colItems count="1">
    <i/>
  </colItems>
  <dataFields count="1">
    <dataField name="Profitability of Startups" fld="1" subtotal="count" baseField="0" baseItem="0" numFmtId="9"/>
  </dataFields>
  <formats count="1">
    <format dxfId="14">
      <pivotArea outline="0" collapsedLevelsAreSubtotals="1" fieldPosition="0">
        <references count="1">
          <reference field="4294967294" count="1" selected="0">
            <x v="0"/>
          </reference>
        </references>
      </pivotArea>
    </format>
  </formats>
  <chartFormats count="1">
    <chartFormat chart="3" format="2" series="1">
      <pivotArea type="data" outline="0" fieldPosition="0">
        <references count="1">
          <reference field="4294967294" count="1" selected="0">
            <x v="0"/>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rofitability of Startup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B243162-ADA5-4C50-B502-16B200A12188}" name="PivotTable3" cacheId="457" applyNumberFormats="0" applyBorderFormats="0" applyFontFormats="0" applyPatternFormats="0" applyAlignmentFormats="0" applyWidthHeightFormats="1" dataCaption="Values" tag="8765a3f4-fee0-4b37-9094-64a18df104a5" updatedVersion="8" minRefreshableVersion="3" useAutoFormatting="1" rowGrandTotals="0" colGrandTotals="0" itemPrintTitles="1" createdVersion="8" indent="0" outline="1" outlineData="1" multipleFieldFilters="0" chartFormat="11">
  <location ref="G1:H6"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Sum of Funding Amount" fld="1" baseField="0" baseItem="0" numFmtId="167"/>
  </dataFields>
  <formats count="2">
    <format dxfId="3">
      <pivotArea outline="0" collapsedLevelsAreSubtotals="1" fieldPosition="0"/>
    </format>
    <format dxfId="2">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s>
  <pivotHierarchies count="46">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6CB31E8-0C25-43F1-A847-341E0ED43E7D}" name="PivotTable1" cacheId="454" applyNumberFormats="0" applyBorderFormats="0" applyFontFormats="0" applyPatternFormats="0" applyAlignmentFormats="0" applyWidthHeightFormats="1" dataCaption="Values" tag="423aeef7-4ac7-43eb-ae90-a8e921906ed0" updatedVersion="8" minRefreshableVersion="3" useAutoFormatting="1" rowGrandTotals="0" colGrandTotals="0" itemPrintTitles="1" createdVersion="8" indent="0" outline="1" outlineData="1" multipleFieldFilters="0" chartFormat="13">
  <location ref="D1:E6"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Sum of Valuation" fld="1" baseField="0" baseItem="0" numFmtId="167"/>
  </dataFields>
  <formats count="2">
    <format dxfId="5">
      <pivotArea outline="0" collapsedLevelsAreSubtotals="1" fieldPosition="0"/>
    </format>
    <format dxfId="4">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Hierarchies count="46">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2AB46CB-E875-4FCC-B8C6-B3FF60BB83E0}" name="PivotTable2" cacheId="451" applyNumberFormats="0" applyBorderFormats="0" applyFontFormats="0" applyPatternFormats="0" applyAlignmentFormats="0" applyWidthHeightFormats="1" dataCaption="Values" tag="e2bb5bf4-a1b5-4e95-8985-dd71b880cd69" updatedVersion="8" minRefreshableVersion="3" useAutoFormatting="1" rowGrandTotals="0" colGrandTotals="0" itemPrintTitles="1" createdVersion="8" indent="0" outline="1" outlineData="1" multipleFieldFilters="0" chartFormat="26">
  <location ref="A1:B6"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Market Share differences by Region" fld="1" baseField="0" baseItem="0" numFmtId="168"/>
  </dataFields>
  <formats count="3">
    <format dxfId="8">
      <pivotArea dataOnly="0" labelOnly="1" outline="0" fieldPosition="0">
        <references count="1">
          <reference field="4294967294" count="1">
            <x v="0"/>
          </reference>
        </references>
      </pivotArea>
    </format>
    <format dxfId="7">
      <pivotArea dataOnly="0" labelOnly="1" outline="0" fieldPosition="0">
        <references count="1">
          <reference field="4294967294" count="1">
            <x v="0"/>
          </reference>
        </references>
      </pivotArea>
    </format>
    <format dxfId="6">
      <pivotArea dataOnly="0" labelOnly="1"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Hierarchies count="46">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Market Share differences by Region"/>
    <pivotHierarchy dragToData="1"/>
    <pivotHierarchy dragToData="1"/>
    <pivotHierarchy dragToData="1" caption="Valuation by Region"/>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81E44C7-76AE-46A2-AA06-799A62FC25BE}" name="PivotTable4" cacheId="460" applyNumberFormats="0" applyBorderFormats="0" applyFontFormats="0" applyPatternFormats="0" applyAlignmentFormats="0" applyWidthHeightFormats="1" dataCaption="Values" tag="e68dfe0f-8f82-4317-aab3-6348eaee73c8" updatedVersion="8" minRefreshableVersion="3" useAutoFormatting="1" rowGrandTotals="0" colGrandTotals="0" itemPrintTitles="1" createdVersion="8" indent="0" outline="1" outlineData="1" multipleFieldFilters="0" chartFormat="11">
  <location ref="J1:K6"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Count of Industry" fld="1" subtotal="count" baseField="0" baseItem="0"/>
  </dataFields>
  <chartFormats count="2">
    <chartFormat chart="0"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Hierarchies count="46">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4158589-C2C0-4A79-B4D0-651EF9A95F43}" name="PivotTable2" cacheId="2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F1:J11" firstHeaderRow="1" firstDataRow="2" firstDataCol="1"/>
  <pivotFields count="3">
    <pivotField axis="axisRow" allDrilled="1" subtotalTop="0" showAll="0" dataSourceSort="1" defaultSubtotal="0" defaultAttributeDrillState="1">
      <items count="8">
        <item x="0"/>
        <item x="1"/>
        <item x="2"/>
        <item x="3"/>
        <item x="4"/>
        <item x="5"/>
        <item x="6"/>
        <item x="7"/>
      </items>
    </pivotField>
    <pivotField axis="axisCol" allDrilled="1" subtotalTop="0" showAll="0" dataSourceSort="1" defaultSubtotal="0" defaultAttributeDrillState="1">
      <items count="3">
        <item x="0"/>
        <item x="1"/>
        <item x="2"/>
      </items>
    </pivotField>
    <pivotField dataField="1" subtotalTop="0" showAll="0" defaultSubtotal="0"/>
  </pivotFields>
  <rowFields count="1">
    <field x="0"/>
  </rowFields>
  <rowItems count="9">
    <i>
      <x/>
    </i>
    <i>
      <x v="1"/>
    </i>
    <i>
      <x v="2"/>
    </i>
    <i>
      <x v="3"/>
    </i>
    <i>
      <x v="4"/>
    </i>
    <i>
      <x v="5"/>
    </i>
    <i>
      <x v="6"/>
    </i>
    <i>
      <x v="7"/>
    </i>
    <i t="grand">
      <x/>
    </i>
  </rowItems>
  <colFields count="1">
    <field x="1"/>
  </colFields>
  <colItems count="4">
    <i>
      <x/>
    </i>
    <i>
      <x v="1"/>
    </i>
    <i>
      <x v="2"/>
    </i>
    <i t="grand">
      <x/>
    </i>
  </colItems>
  <dataFields count="1">
    <dataField name="Count of Startup Name" fld="2" subtotal="count" baseField="0" baseItem="0"/>
  </dataFields>
  <chartFormats count="3">
    <chartFormat chart="3" format="6" series="1">
      <pivotArea type="data" outline="0" fieldPosition="0">
        <references count="2">
          <reference field="4294967294" count="1" selected="0">
            <x v="0"/>
          </reference>
          <reference field="1" count="1" selected="0">
            <x v="0"/>
          </reference>
        </references>
      </pivotArea>
    </chartFormat>
    <chartFormat chart="3" format="7" series="1">
      <pivotArea type="data" outline="0" fieldPosition="0">
        <references count="2">
          <reference field="4294967294" count="1" selected="0">
            <x v="0"/>
          </reference>
          <reference field="1" count="1" selected="0">
            <x v="1"/>
          </reference>
        </references>
      </pivotArea>
    </chartFormat>
    <chartFormat chart="3" format="8" series="1">
      <pivotArea type="data" outline="0" fieldPosition="0">
        <references count="2">
          <reference field="4294967294" count="1" selected="0">
            <x v="0"/>
          </reference>
          <reference field="1" count="1" selected="0">
            <x v="2"/>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DDBC60A-6B5C-438F-BBD4-23423DCB949A}" name="PivotTable1" cacheId="2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B5"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Percentage of Profitable Startups" fld="1" subtotal="count" showDataAs="percentOfCol" baseField="0" baseItem="0" numFmtId="10"/>
  </dataFields>
  <chartFormats count="4">
    <chartFormat chart="5" format="12"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0" count="1" selected="0">
            <x v="0"/>
          </reference>
        </references>
      </pivotArea>
    </chartFormat>
    <chartFormat chart="5" format="14">
      <pivotArea type="data" outline="0" fieldPosition="0">
        <references count="2">
          <reference field="4294967294" count="1" selected="0">
            <x v="0"/>
          </reference>
          <reference field="0" count="1" selected="0">
            <x v="1"/>
          </reference>
        </references>
      </pivotArea>
    </chartFormat>
    <chartFormat chart="5" format="15">
      <pivotArea type="data" outline="0" fieldPosition="0">
        <references count="2">
          <reference field="4294967294" count="1" selected="0">
            <x v="0"/>
          </reference>
          <reference field="0" count="1" selected="0">
            <x v="2"/>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Percentage of Profitable Startups"/>
    <pivotHierarchy dragToData="1" caption="Average of Funding Amount"/>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66A1D13-AD71-46AC-B9FC-671F7FB1D0AB}" name="PivotTable3" cacheId="2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9:B13"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Average of Funding Amount" fld="1" subtotal="average" baseField="0" baseItem="0"/>
  </dataFields>
  <chartFormats count="2">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4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Funding Amount"/>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50EF94F-0455-467D-A43A-1A32D3FB3B62}" name="PivotTable1" cacheId="508" applyNumberFormats="0" applyBorderFormats="0" applyFontFormats="0" applyPatternFormats="0" applyAlignmentFormats="0" applyWidthHeightFormats="1" dataCaption="Values" tag="100772e6-3b3b-46a3-9e34-48cc94e0b241" updatedVersion="8" minRefreshableVersion="3" useAutoFormatting="1" rowGrandTotals="0" colGrandTotals="0" itemPrintTitles="1" createdVersion="8" indent="0" outline="1" outlineData="1" multipleFieldFilters="0">
  <location ref="A1:C34" firstHeaderRow="0" firstDataRow="1" firstDataCol="1"/>
  <pivotFields count="4">
    <pivotField axis="axisRow" allDrilled="1" subtotalTop="0" showAll="0" dataSourceSort="1"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rowItems>
  <colFields count="1">
    <field x="-2"/>
  </colFields>
  <colItems count="2">
    <i>
      <x/>
    </i>
    <i i="1">
      <x v="1"/>
    </i>
  </colItems>
  <dataFields count="2">
    <dataField name="Sum of Funding Amount" fld="1" baseField="0" baseItem="0"/>
    <dataField name="Sum of Valuation" fld="2" baseField="0" baseItem="0"/>
  </dataFields>
  <pivotHierarchies count="46">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72FAFE4-DFBE-42E1-A79C-4E2E4E5B018D}" name="PivotTable10" cacheId="511" applyNumberFormats="0" applyBorderFormats="0" applyFontFormats="0" applyPatternFormats="0" applyAlignmentFormats="0" applyWidthHeightFormats="1" dataCaption="Values" tag="1b47ea1f-3981-4b08-aac9-869b3ad410e4" updatedVersion="8" minRefreshableVersion="3" useAutoFormatting="1" rowGrandTotals="0" colGrandTotals="0" itemPrintTitles="1" createdVersion="8" indent="0" outline="1" outlineData="1" multipleFieldFilters="0">
  <location ref="K1:L34" firstHeaderRow="1" firstDataRow="1" firstDataCol="1"/>
  <pivotFields count="3">
    <pivotField axis="axisRow" allDrilled="1" subtotalTop="0" showAll="0" dataSourceSort="1"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dataField="1" subtotalTop="0" showAll="0" defaultSubtotal="0"/>
    <pivotField allDrilled="1" subtotalTop="0" showAll="0" dataSourceSort="1" defaultSubtotal="0" defaultAttributeDrillState="1"/>
  </pivotFields>
  <rowFields count="1">
    <field x="0"/>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rowItems>
  <colItems count="1">
    <i/>
  </colItems>
  <dataFields count="1">
    <dataField name="Sum of Revenue" fld="1" baseField="0" baseItem="0"/>
  </dataFields>
  <pivotHierarchies count="46">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tartup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BD11AA3-8FFF-4AF6-80E9-93B6879DE07C}" name="PivotTable5" cacheId="25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N5:O14" firstHeaderRow="1" firstDataRow="1" firstDataCol="1"/>
  <pivotFields count="15">
    <pivotField showAll="0"/>
    <pivotField axis="axisRow" showAll="0">
      <items count="9">
        <item x="7"/>
        <item x="2"/>
        <item x="5"/>
        <item x="3"/>
        <item x="1"/>
        <item x="4"/>
        <item x="6"/>
        <item x="0"/>
        <item t="default"/>
      </items>
    </pivotField>
    <pivotField showAll="0"/>
    <pivotField showAll="0"/>
    <pivotField showAll="0"/>
    <pivotField showAll="0"/>
    <pivotField showAll="0"/>
    <pivotField showAll="0"/>
    <pivotField showAll="0"/>
    <pivotField showAll="0"/>
    <pivotField showAll="0">
      <items count="6">
        <item x="4"/>
        <item x="3"/>
        <item x="0"/>
        <item x="1"/>
        <item x="2"/>
        <item t="default"/>
      </items>
    </pivotField>
    <pivotField showAll="0"/>
    <pivotField dataField="1" showAll="0"/>
    <pivotField showAll="0"/>
    <pivotField showAll="0"/>
  </pivotFields>
  <rowFields count="1">
    <field x="1"/>
  </rowFields>
  <rowItems count="9">
    <i>
      <x/>
    </i>
    <i>
      <x v="1"/>
    </i>
    <i>
      <x v="2"/>
    </i>
    <i>
      <x v="3"/>
    </i>
    <i>
      <x v="4"/>
    </i>
    <i>
      <x v="5"/>
    </i>
    <i>
      <x v="6"/>
    </i>
    <i>
      <x v="7"/>
    </i>
    <i t="grand">
      <x/>
    </i>
  </rowItems>
  <colItems count="1">
    <i/>
  </colItems>
  <dataFields count="1">
    <dataField name="Average of ValuationToFundingRatio" fld="12" subtotal="average" baseField="1" baseItem="0" numFmtId="2"/>
  </dataFields>
  <formats count="1">
    <format dxfId="0">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7050F3A-FC41-4006-8CB4-201657309290}" name="Top10Pivot" cacheId="26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B10" firstHeaderRow="1" firstDataRow="1" firstDataCol="1"/>
  <pivotFields count="16">
    <pivotField showAll="0"/>
    <pivotField showAll="0">
      <items count="9">
        <item x="4"/>
        <item x="2"/>
        <item x="5"/>
        <item x="7"/>
        <item x="3"/>
        <item x="0"/>
        <item x="1"/>
        <item x="6"/>
        <item t="default"/>
      </items>
    </pivotField>
    <pivotField showAll="0"/>
    <pivotField dataField="1" showAll="0"/>
    <pivotField showAll="0"/>
    <pivotField showAll="0"/>
    <pivotField showAll="0"/>
    <pivotField showAll="0"/>
    <pivotField showAll="0"/>
    <pivotField showAll="0"/>
    <pivotField showAll="0">
      <items count="6">
        <item x="4"/>
        <item x="0"/>
        <item x="2"/>
        <item x="1"/>
        <item x="3"/>
        <item t="default"/>
      </items>
    </pivotField>
    <pivotField showAll="0"/>
    <pivotField showAll="0"/>
    <pivotField showAll="0"/>
    <pivotField showAll="0"/>
    <pivotField axis="axisRow" showAll="0" sortType="descending">
      <items count="14">
        <item x="4"/>
        <item x="2"/>
        <item x="5"/>
        <item x="7"/>
        <item x="3"/>
        <item x="0"/>
        <item x="1"/>
        <item x="6"/>
        <item m="1" x="8"/>
        <item m="1" x="9"/>
        <item m="1" x="10"/>
        <item m="1" x="11"/>
        <item m="1" x="12"/>
        <item t="default"/>
      </items>
      <autoSortScope>
        <pivotArea dataOnly="0" outline="0" fieldPosition="0">
          <references count="1">
            <reference field="4294967294" count="1" selected="0">
              <x v="0"/>
            </reference>
          </references>
        </pivotArea>
      </autoSortScope>
    </pivotField>
  </pivotFields>
  <rowFields count="1">
    <field x="15"/>
  </rowFields>
  <rowItems count="9">
    <i>
      <x v="4"/>
    </i>
    <i>
      <x v="2"/>
    </i>
    <i>
      <x v="3"/>
    </i>
    <i>
      <x v="5"/>
    </i>
    <i>
      <x/>
    </i>
    <i>
      <x v="7"/>
    </i>
    <i>
      <x v="1"/>
    </i>
    <i>
      <x v="6"/>
    </i>
    <i t="grand">
      <x/>
    </i>
  </rowItems>
  <colItems count="1">
    <i/>
  </colItems>
  <dataFields count="1">
    <dataField name="Sum of Funding Amount" fld="3" baseField="0" baseItem="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5"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0141B48-80CE-43C2-A3C8-F6C1926BFF99}" name="PivotTable3" cacheId="26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G7:H13" firstHeaderRow="1" firstDataRow="1" firstDataCol="1"/>
  <pivotFields count="16">
    <pivotField showAll="0"/>
    <pivotField showAll="0">
      <items count="9">
        <item x="4"/>
        <item x="2"/>
        <item x="5"/>
        <item x="7"/>
        <item x="3"/>
        <item x="0"/>
        <item x="1"/>
        <item x="6"/>
        <item t="default"/>
      </items>
    </pivotField>
    <pivotField dataField="1" showAll="0"/>
    <pivotField showAll="0"/>
    <pivotField showAll="0"/>
    <pivotField showAll="0"/>
    <pivotField showAll="0"/>
    <pivotField showAll="0"/>
    <pivotField showAll="0"/>
    <pivotField showAll="0"/>
    <pivotField axis="axisRow" showAll="0" measureFilter="1" sortType="descending">
      <items count="6">
        <item x="4"/>
        <item x="0"/>
        <item x="2"/>
        <item x="1"/>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s>
  <rowFields count="1">
    <field x="10"/>
  </rowFields>
  <rowItems count="6">
    <i>
      <x v="2"/>
    </i>
    <i>
      <x v="1"/>
    </i>
    <i>
      <x v="3"/>
    </i>
    <i>
      <x v="4"/>
    </i>
    <i>
      <x/>
    </i>
    <i t="grand">
      <x/>
    </i>
  </rowItems>
  <colItems count="1">
    <i/>
  </colItems>
  <dataFields count="1">
    <dataField name="Average of Funding Rounds" fld="2" subtotal="average" baseField="10" baseItem="0" numFmtId="2"/>
  </dataFields>
  <formats count="1">
    <format dxfId="1">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tartup_data_1" backgroundRefresh="0" connectionId="1" xr16:uid="{304C1D96-FE08-448C-915B-122B45A0AA8F}" autoFormatId="16" applyNumberFormats="0" applyBorderFormats="0" applyFontFormats="0" applyPatternFormats="0" applyAlignmentFormats="0" applyWidthHeightFormats="0">
  <queryTableRefresh nextId="16">
    <queryTableFields count="15">
      <queryTableField id="1" name="Startup Name" tableColumnId="1"/>
      <queryTableField id="2" name="Industry" tableColumnId="2"/>
      <queryTableField id="3" name="Funding Rounds" tableColumnId="3"/>
      <queryTableField id="4" name="Funding Amount" tableColumnId="4"/>
      <queryTableField id="5" name="Valuation" tableColumnId="5"/>
      <queryTableField id="6" name="Revenue" tableColumnId="6"/>
      <queryTableField id="7" name="Employees" tableColumnId="7"/>
      <queryTableField id="8" name="Market Share (%)" tableColumnId="8"/>
      <queryTableField id="9" name="Profitable" tableColumnId="9"/>
      <queryTableField id="10" name="Year Founded" tableColumnId="10"/>
      <queryTableField id="11" name="Region" tableColumnId="11"/>
      <queryTableField id="12" name="Exit Status" tableColumnId="12"/>
      <queryTableField id="13" name="ValuationToFundingRatio" tableColumnId="13"/>
      <queryTableField id="14" name="RevenuePerEmployee" tableColumnId="14"/>
      <queryTableField id="15" name="Startup Age" tableColumnId="15"/>
    </queryTableFields>
  </queryTableRefresh>
  <extLst>
    <ext xmlns:x15="http://schemas.microsoft.com/office/spreadsheetml/2010/11/main" uri="{883FBD77-0823-4a55-B5E3-86C4891E6966}">
      <x15:queryTable sourceDataName="Query - startup_data"/>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startup_data_1" backgroundRefresh="0" connectionId="2" xr16:uid="{7AB72B87-BE0C-4B3A-A654-16B62932748C}" autoFormatId="16" applyNumberFormats="0" applyBorderFormats="0" applyFontFormats="0" applyPatternFormats="0" applyAlignmentFormats="0" applyWidthHeightFormats="0">
  <queryTableRefresh nextId="17" unboundColumnsRight="1">
    <queryTableFields count="16">
      <queryTableField id="1" name="Startup Name" tableColumnId="1"/>
      <queryTableField id="2" name="Industry" tableColumnId="2"/>
      <queryTableField id="3" name="Funding Rounds" tableColumnId="3"/>
      <queryTableField id="4" name="Funding Amount" tableColumnId="4"/>
      <queryTableField id="5" name="Valuation" tableColumnId="5"/>
      <queryTableField id="6" name="Revenue" tableColumnId="6"/>
      <queryTableField id="7" name="Employees" tableColumnId="7"/>
      <queryTableField id="8" name="Market Share (%)" tableColumnId="8"/>
      <queryTableField id="9" name="Profitable" tableColumnId="9"/>
      <queryTableField id="10" name="Year Founded" tableColumnId="10"/>
      <queryTableField id="11" name="Region" tableColumnId="11"/>
      <queryTableField id="12" name="Exit Status" tableColumnId="12"/>
      <queryTableField id="14" name="ValuationToFundingRatio" tableColumnId="14"/>
      <queryTableField id="15" name="RevenuePerEmployee" tableColumnId="15"/>
      <queryTableField id="16" name="Startup Age" tableColumnId="16"/>
      <queryTableField id="13" dataBound="0" tableColumnId="13"/>
    </queryTableFields>
  </queryTableRefresh>
  <extLst>
    <ext xmlns:x15="http://schemas.microsoft.com/office/spreadsheetml/2010/11/main" uri="{883FBD77-0823-4a55-B5E3-86C4891E6966}">
      <x15:queryTable sourceDataName="Query - startup_data"/>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 xr10:uid="{D1CC9CCE-E4F7-490F-8B1C-F9C20AF92B76}" sourceName="Industry">
  <pivotTables>
    <pivotTable tabId="6" name="PivotTable3"/>
  </pivotTables>
  <data>
    <tabular pivotCacheId="1639704937">
      <items count="8">
        <i x="4" s="1"/>
        <i x="2" s="1"/>
        <i x="5" s="1"/>
        <i x="7" s="1"/>
        <i x="3" s="1"/>
        <i x="0" s="1"/>
        <i x="1"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B78E6D3-9709-4CDC-B429-CC80124837A6}" sourceName="Region">
  <pivotTables>
    <pivotTable tabId="6" name="PivotTable5"/>
  </pivotTables>
  <data>
    <tabular pivotCacheId="353784683">
      <items count="5">
        <i x="4" s="1"/>
        <i x="3" s="1"/>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436E264-F64A-4359-BE7D-49BCF445ACC1}" sourceName="Region">
  <pivotTables>
    <pivotTable tabId="6" name="Top10Pivot"/>
  </pivotTables>
  <data>
    <tabular pivotCacheId="1639704937">
      <items count="5">
        <i x="4" s="1"/>
        <i x="0" s="1"/>
        <i x="2" s="1"/>
        <i x="1"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1" xr10:uid="{1A19A02F-8CA8-4EC2-9F64-861737ED71C8}" sourceName="Industry">
  <pivotTables>
    <pivotTable tabId="6" name="Top10Pivot"/>
  </pivotTables>
  <data>
    <tabular pivotCacheId="1639704937">
      <items count="8">
        <i x="4" s="1"/>
        <i x="2" s="1"/>
        <i x="5" s="1"/>
        <i x="7" s="1"/>
        <i x="3" s="1"/>
        <i x="0" s="1"/>
        <i x="1" s="1"/>
        <i x="6"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2" xr10:uid="{6CBBF49D-9892-4BE8-A1E4-8D9461365809}" sourceName="[startup_data].[Region]">
  <pivotTables>
    <pivotTable tabId="7" name="PivotTable1"/>
  </pivotTables>
  <data>
    <olap pivotCacheId="71256615">
      <levels count="2">
        <level uniqueName="[startup_data].[Region].[(All)]" sourceCaption="(All)" count="0"/>
        <level uniqueName="[startup_data].[Region].[Region]" sourceCaption="Region" count="5">
          <ranges>
            <range startItem="0">
              <i n="[startup_data].[Region].&amp;[Asia]" c="Asia"/>
              <i n="[startup_data].[Region].&amp;[Australia]" c="Australia"/>
              <i n="[startup_data].[Region].&amp;[Europe]" c="Europe"/>
              <i n="[startup_data].[Region].&amp;[North America]" c="North America"/>
              <i n="[startup_data].[Region].&amp;[South America]" c="South America"/>
            </range>
          </ranges>
        </level>
      </levels>
      <selections count="1">
        <selection n="[startup_data].[Region].[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2" xr10:uid="{32EDC3DB-9FC4-474D-B27C-ABAC214856EC}" sourceName="[startup_data].[Industry]">
  <pivotTables>
    <pivotTable tabId="7" name="PivotTable1"/>
  </pivotTables>
  <data>
    <olap pivotCacheId="71256615">
      <levels count="2">
        <level uniqueName="[startup_data].[Industry].[(All)]" sourceCaption="(All)" count="0"/>
        <level uniqueName="[startup_data].[Industry].[Industry]" sourceCaption="Industry" count="8">
          <ranges>
            <range startItem="0">
              <i n="[startup_data].[Industry].&amp;[AI]" c="AI"/>
              <i n="[startup_data].[Industry].&amp;[Cybersecurity]" c="Cybersecurity"/>
              <i n="[startup_data].[Industry].&amp;[E-Commerce]" c="E-Commerce"/>
              <i n="[startup_data].[Industry].&amp;[EdTech]" c="EdTech"/>
              <i n="[startup_data].[Industry].&amp;[FinTech]" c="FinTech"/>
              <i n="[startup_data].[Industry].&amp;[Gaming]" c="Gaming"/>
              <i n="[startup_data].[Industry].&amp;[HealthTech]" c="HealthTech"/>
              <i n="[startup_data].[Industry].&amp;[IoT]" c="IoT"/>
            </range>
          </ranges>
        </level>
      </levels>
      <selections count="1">
        <selection n="[startup_data].[Industry].[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4" xr10:uid="{91760B59-7D8D-45DF-BA8A-E1ACF858A90D}" sourceName="[startup_data].[Region]">
  <pivotTables>
    <pivotTable tabId="9" name="PivotTable1"/>
  </pivotTables>
  <data>
    <olap pivotCacheId="1430744559">
      <levels count="2">
        <level uniqueName="[startup_data].[Region].[(All)]" sourceCaption="(All)" count="0"/>
        <level uniqueName="[startup_data].[Region].[Region]" sourceCaption="Region" count="5">
          <ranges>
            <range startItem="0">
              <i n="[startup_data].[Region].&amp;[Asia]" c="Asia"/>
              <i n="[startup_data].[Region].&amp;[Australia]" c="Australia"/>
              <i n="[startup_data].[Region].&amp;[Europe]" c="Europe"/>
              <i n="[startup_data].[Region].&amp;[North America]" c="North America"/>
              <i n="[startup_data].[Region].&amp;[South America]" c="South America"/>
            </range>
          </ranges>
        </level>
      </levels>
      <selections count="1">
        <selection n="[startup_data].[Region].[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5" xr10:uid="{AE60AF0C-ECAC-4600-B4A9-8D1C50DFF483}" sourceName="[startup_data].[Region]">
  <pivotTables>
    <pivotTable tabId="9" name="PivotTable2"/>
    <pivotTable tabId="9" name="PivotTable3"/>
  </pivotTables>
  <data>
    <olap pivotCacheId="1928880910">
      <levels count="2">
        <level uniqueName="[startup_data].[Region].[(All)]" sourceCaption="(All)" count="0"/>
        <level uniqueName="[startup_data].[Region].[Region]" sourceCaption="Region" count="5">
          <ranges>
            <range startItem="0">
              <i n="[startup_data].[Region].&amp;[Asia]" c="Asia"/>
              <i n="[startup_data].[Region].&amp;[Australia]" c="Australia"/>
              <i n="[startup_data].[Region].&amp;[Europe]" c="Europe"/>
              <i n="[startup_data].[Region].&amp;[North America]" c="North America"/>
              <i n="[startup_data].[Region].&amp;[South America]" c="South America"/>
            </range>
          </ranges>
        </level>
      </levels>
      <selections count="1">
        <selection n="[startup_data].[Region].[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3" xr10:uid="{4A69BFDB-138F-4A27-951E-EE9E433B3271}" sourceName="[startup_data].[Industry]">
  <pivotTables>
    <pivotTable tabId="12" name="PivotTable2"/>
    <pivotTable tabId="12" name="PivotTable1"/>
    <pivotTable tabId="12" name="PivotTable3"/>
    <pivotTable tabId="12" name="PivotTable4"/>
  </pivotTables>
  <data>
    <olap pivotCacheId="1113192185">
      <levels count="2">
        <level uniqueName="[startup_data].[Industry].[(All)]" sourceCaption="(All)" count="0"/>
        <level uniqueName="[startup_data].[Industry].[Industry]" sourceCaption="Industry" count="8">
          <ranges>
            <range startItem="0">
              <i n="[startup_data].[Industry].&amp;[AI]" c="AI"/>
              <i n="[startup_data].[Industry].&amp;[Cybersecurity]" c="Cybersecurity"/>
              <i n="[startup_data].[Industry].&amp;[E-Commerce]" c="E-Commerce"/>
              <i n="[startup_data].[Industry].&amp;[EdTech]" c="EdTech"/>
              <i n="[startup_data].[Industry].&amp;[FinTech]" c="FinTech"/>
              <i n="[startup_data].[Industry].&amp;[Gaming]" c="Gaming"/>
              <i n="[startup_data].[Industry].&amp;[HealthTech]" c="HealthTech"/>
              <i n="[startup_data].[Industry].&amp;[IoT]" c="IoT"/>
            </range>
          </ranges>
        </level>
      </levels>
      <selections count="1">
        <selection n="[startup_data].[Industry].[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3" xr10:uid="{C152747C-8D2A-442A-8434-94D7602040FD}" sourceName="[startup_data].[Region]">
  <pivotTables>
    <pivotTable tabId="16" name="PivotTable1"/>
    <pivotTable tabId="16" name="PivotTable10"/>
  </pivotTables>
  <data>
    <olap pivotCacheId="1682855891">
      <levels count="2">
        <level uniqueName="[startup_data].[Region].[(All)]" sourceCaption="(All)" count="0"/>
        <level uniqueName="[startup_data].[Region].[Region]" sourceCaption="Region" count="5">
          <ranges>
            <range startItem="0">
              <i n="[startup_data].[Region].&amp;[Asia]" c="Asia"/>
              <i n="[startup_data].[Region].&amp;[Australia]" c="Australia"/>
              <i n="[startup_data].[Region].&amp;[Europe]" c="Europe"/>
              <i n="[startup_data].[Region].&amp;[North America]" c="North America"/>
              <i n="[startup_data].[Region].&amp;[South America]" c="South America"/>
            </range>
          </ranges>
        </level>
      </levels>
      <selections count="1">
        <selection n="[startup_data].[Region].[All]"/>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4" xr10:uid="{557C6857-DCF7-484D-B8C2-B5331961914C}" sourceName="[startup_data].[Industry]">
  <pivotTables>
    <pivotTable tabId="16" name="PivotTable1"/>
    <pivotTable tabId="16" name="PivotTable10"/>
  </pivotTables>
  <data>
    <olap pivotCacheId="1682855891">
      <levels count="2">
        <level uniqueName="[startup_data].[Industry].[(All)]" sourceCaption="(All)" count="0"/>
        <level uniqueName="[startup_data].[Industry].[Industry]" sourceCaption="Industry" count="8">
          <ranges>
            <range startItem="0">
              <i n="[startup_data].[Industry].&amp;[AI]" c="AI"/>
              <i n="[startup_data].[Industry].&amp;[Cybersecurity]" c="Cybersecurity"/>
              <i n="[startup_data].[Industry].&amp;[E-Commerce]" c="E-Commerce"/>
              <i n="[startup_data].[Industry].&amp;[EdTech]" c="EdTech"/>
              <i n="[startup_data].[Industry].&amp;[FinTech]" c="FinTech"/>
              <i n="[startup_data].[Industry].&amp;[Gaming]" c="Gaming"/>
              <i n="[startup_data].[Industry].&amp;[HealthTech]" c="HealthTech"/>
              <i n="[startup_data].[Industry].&amp;[IoT]" c="IoT"/>
            </range>
          </ranges>
        </level>
      </levels>
      <selections count="1">
        <selection n="[startup_data].[Indus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y" xr10:uid="{3CBF1E83-7ACC-4CF7-ABE8-C2AA23A9EAC3}" cache="Slicer_Industry" caption="Industry" rowHeight="257175"/>
  <slicer name="Region" xr10:uid="{F275DC1B-BE49-48E7-89EA-69D39A3A35F1}" cache="Slicer_Region" caption="Region" rowHeight="257175"/>
  <slicer name="Region 2" xr10:uid="{9E58F9CA-7CB5-4ADF-98FD-4794D04681DA}" cache="Slicer_Region1" caption="Region" style="SlicerStyleLight6" rowHeight="257175"/>
  <slicer name="Industry 1" xr10:uid="{EDE4DBFA-0EEA-45A8-BD7E-BB7DD8E65434}" cache="Slicer_Industry1" caption="Industry" style="SlicerStyleLight6"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3BA04FB3-0F00-4705-B470-10D8F3AFAD99}" cache="Slicer_Region2" caption="Region" level="1" rowHeight="257175"/>
  <slicer name="Industry 2" xr10:uid="{43AC899A-7C17-4980-858B-2A5DBBD71D33}" cache="Slicer_Industry2" caption="Industry" level="1" rowHeight="257175"/>
  <slicer name="Region 3" xr10:uid="{3DC59E31-D0DC-47A4-AE53-9BE277376A6E}" cache="Slicer_Region5" caption="Region" level="1" style="SlicerStyleLight3"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4" xr10:uid="{A2F04C07-4740-4BA2-9F42-82F94183DBC1}" cache="Slicer_Region4" caption="Region" level="1" rowHeight="257175"/>
  <slicer name="Region 5" xr10:uid="{8B8225CA-7CFB-47BB-9D6C-C364EE7C5D68}" cache="Slicer_Region5" caption="Region" level="1" style="Slicer Style 8" rowHeight="2571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y 3" xr10:uid="{16D4A3CF-93FD-4BA1-87E2-F341024E8424}" cache="Slicer_Industry3" caption="Industry" columnCount="8" level="1" rowHeight="257175"/>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6" xr10:uid="{99E57676-233D-4445-B083-5EBCDFDED760}" cache="Slicer_Region3" caption="Region" level="1" rowHeight="257175"/>
  <slicer name="Industry 4" xr10:uid="{FA757AA3-160B-4D31-A039-6494B4FD695F}" cache="Slicer_Industry4" caption="Industry" level="1"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1B5F52B-4EF7-4885-8FF3-541D18D7F175}" name="Table_startup_data_1" displayName="Table_startup_data_1" ref="A1:O501" tableType="queryTable" totalsRowShown="0">
  <autoFilter ref="A1:O501" xr:uid="{A1B5F52B-4EF7-4885-8FF3-541D18D7F175}"/>
  <sortState xmlns:xlrd2="http://schemas.microsoft.com/office/spreadsheetml/2017/richdata2" ref="A2:O501">
    <sortCondition ref="A1:A501"/>
  </sortState>
  <tableColumns count="15">
    <tableColumn id="1" xr3:uid="{9083C9AF-15D5-4115-A670-176475B75F88}" uniqueName="1" name="Startup Name" queryTableFieldId="1"/>
    <tableColumn id="2" xr3:uid="{22C53F40-11C6-45BD-A22C-064D81499546}" uniqueName="2" name="Industry" queryTableFieldId="2"/>
    <tableColumn id="3" xr3:uid="{D7B73629-170D-4A65-86DF-80BE74646CBE}" uniqueName="3" name="Funding Rounds" queryTableFieldId="3"/>
    <tableColumn id="4" xr3:uid="{A0CBAE78-A050-4C78-9F2A-19E5710FFA17}" uniqueName="4" name="Funding Amount" queryTableFieldId="4"/>
    <tableColumn id="5" xr3:uid="{5F551CB8-720F-431E-AAB9-167180D1367A}" uniqueName="5" name="Valuation" queryTableFieldId="5"/>
    <tableColumn id="6" xr3:uid="{0C24B683-3DC0-4AAE-8F69-21206A71B24A}" uniqueName="6" name="Revenue" queryTableFieldId="6"/>
    <tableColumn id="7" xr3:uid="{766F7379-7E3D-485C-A88E-869F17017DF1}" uniqueName="7" name="Employees" queryTableFieldId="7"/>
    <tableColumn id="8" xr3:uid="{BBFB3C08-DB2D-4424-870D-72F5D1F15561}" uniqueName="8" name="Market Share (%)" queryTableFieldId="8"/>
    <tableColumn id="9" xr3:uid="{63D99E73-45D9-42B5-9842-6DF00F09F45B}" uniqueName="9" name="Profitable" queryTableFieldId="9"/>
    <tableColumn id="10" xr3:uid="{363AD02F-696D-47C6-95FA-9464DEDC96C2}" uniqueName="10" name="Year Founded" queryTableFieldId="10"/>
    <tableColumn id="11" xr3:uid="{73887E61-1BDE-4812-8247-36D7992941E2}" uniqueName="11" name="Region" queryTableFieldId="11"/>
    <tableColumn id="12" xr3:uid="{B9EA5563-8F56-4550-BFE3-CA6F923BF200}" uniqueName="12" name="Exit Status" queryTableFieldId="12"/>
    <tableColumn id="13" xr3:uid="{F9D8B582-4090-4BDC-94AC-ECBBDFA4B238}" uniqueName="13" name="ValuationToFundingRatio" queryTableFieldId="13"/>
    <tableColumn id="14" xr3:uid="{FA77932A-D4C9-476B-AB13-3DA96C439558}" uniqueName="14" name="RevenuePerEmployee" queryTableFieldId="14"/>
    <tableColumn id="15" xr3:uid="{C6BC93FF-A7D4-4C74-AB2C-7E35851EA7D8}" uniqueName="15" name="Startup Age" queryTableField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93950A8-B666-486E-B9F5-85BB21A1EC3E}" name="Table_startup_data_13" displayName="Table_startup_data_13" ref="A1:P501" tableType="queryTable" totalsRowShown="0">
  <autoFilter ref="A1:P501" xr:uid="{A93950A8-B666-486E-B9F5-85BB21A1EC3E}"/>
  <tableColumns count="16">
    <tableColumn id="1" xr3:uid="{23B75FF1-1A20-4CAC-965E-3B78DEBCA173}" uniqueName="1" name="Startup Name" queryTableFieldId="1"/>
    <tableColumn id="2" xr3:uid="{73E57702-5EB3-4EBD-874C-780A5D318A1C}" uniqueName="2" name="Industry" queryTableFieldId="2"/>
    <tableColumn id="3" xr3:uid="{8D57C96F-59DB-4AF8-BA3C-1AF103A5896B}" uniqueName="3" name="Funding Rounds" queryTableFieldId="3"/>
    <tableColumn id="4" xr3:uid="{ED043611-9E48-47E3-8498-CB644DD37EDA}" uniqueName="4" name="Funding Amount" queryTableFieldId="4"/>
    <tableColumn id="5" xr3:uid="{C05D708E-E75E-463C-BA6B-6C97228DE3F3}" uniqueName="5" name="Valuation" queryTableFieldId="5"/>
    <tableColumn id="6" xr3:uid="{8256657B-51BD-4AA0-AEEE-228140E5B830}" uniqueName="6" name="Revenue" queryTableFieldId="6"/>
    <tableColumn id="7" xr3:uid="{FB2B599B-18CC-4903-9B0A-AAE8FAB5B808}" uniqueName="7" name="Employees" queryTableFieldId="7"/>
    <tableColumn id="8" xr3:uid="{3314D731-E557-43F4-B778-2DA926410A28}" uniqueName="8" name="Market Share (%)" queryTableFieldId="8"/>
    <tableColumn id="9" xr3:uid="{459907F1-4BAE-43A4-9AE2-B750788F973E}" uniqueName="9" name="Profitable" queryTableFieldId="9"/>
    <tableColumn id="10" xr3:uid="{01871506-3988-4B87-AC61-BB9F9DF09194}" uniqueName="10" name="Year Founded" queryTableFieldId="10"/>
    <tableColumn id="11" xr3:uid="{D4363A82-3B88-4961-8F2E-5289E8DA67E3}" uniqueName="11" name="Region" queryTableFieldId="11"/>
    <tableColumn id="12" xr3:uid="{5337287B-B10B-439A-9017-97926383EB51}" uniqueName="12" name="Exit Status" queryTableFieldId="12"/>
    <tableColumn id="14" xr3:uid="{4DBF5AD6-BF04-461E-82FC-A021763C096C}" uniqueName="14" name="ValuationToFundingRatio" queryTableFieldId="14"/>
    <tableColumn id="15" xr3:uid="{43D8E2AC-BC57-47DC-A406-3345443D24C8}" uniqueName="15" name="RevenuePerEmployee" queryTableFieldId="15"/>
    <tableColumn id="16" xr3:uid="{52E63FC1-E763-4062-AC09-44DC42159520}" uniqueName="16" name="Startup Age" queryTableFieldId="16"/>
    <tableColumn id="13" xr3:uid="{EFD2D280-0F08-4E0B-8DF7-C6D07DA56EEC}" uniqueName="13" name="GroupByDimension" queryTableFieldId="13" dataDxfId="18">
      <calculatedColumnFormula>IF('Funding Insights'!$D$5="Industry",Table_startup_data_13[[#This Row],[Industry]],Table_startup_data_13[[#This Row],[Region]])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5" Type="http://schemas.openxmlformats.org/officeDocument/2006/relationships/drawing" Target="../drawings/drawing4.xml"/><Relationship Id="rId4" Type="http://schemas.openxmlformats.org/officeDocument/2006/relationships/pivotTable" Target="../pivotTables/pivotTable10.xml"/></Relationships>
</file>

<file path=xl/worksheets/_rels/sheet9.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13.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D71F3-003D-4F00-8A3A-6AD2F73AD710}">
  <sheetPr codeName="Sheet2"/>
  <dimension ref="A1:O503"/>
  <sheetViews>
    <sheetView topLeftCell="B1" workbookViewId="0">
      <selection activeCell="P21" sqref="P21"/>
    </sheetView>
  </sheetViews>
  <sheetFormatPr defaultRowHeight="15" x14ac:dyDescent="0.25"/>
  <cols>
    <col min="1" max="1" width="15.7109375" bestFit="1" customWidth="1"/>
    <col min="2" max="2" width="12.7109375" bestFit="1" customWidth="1"/>
    <col min="3" max="3" width="17.85546875" bestFit="1" customWidth="1"/>
    <col min="4" max="4" width="18" style="1" bestFit="1" customWidth="1"/>
    <col min="5" max="5" width="11.7109375" style="2" bestFit="1" customWidth="1"/>
    <col min="6" max="6" width="11.28515625" style="2" bestFit="1" customWidth="1"/>
    <col min="7" max="7" width="13.28515625" bestFit="1" customWidth="1"/>
    <col min="8" max="8" width="18.5703125" style="3" bestFit="1" customWidth="1"/>
    <col min="9" max="9" width="12.140625" bestFit="1" customWidth="1"/>
    <col min="10" max="10" width="15.7109375" bestFit="1" customWidth="1"/>
    <col min="11" max="11" width="13.85546875" bestFit="1" customWidth="1"/>
    <col min="12" max="12" width="12.85546875" bestFit="1" customWidth="1"/>
    <col min="13" max="13" width="26.140625" bestFit="1" customWidth="1"/>
    <col min="14" max="14" width="23.7109375" bestFit="1" customWidth="1"/>
    <col min="15" max="15" width="13.5703125" bestFit="1" customWidth="1"/>
  </cols>
  <sheetData>
    <row r="1" spans="1:15" x14ac:dyDescent="0.25">
      <c r="A1" t="s">
        <v>0</v>
      </c>
      <c r="B1" t="s">
        <v>1</v>
      </c>
      <c r="C1" t="s">
        <v>2</v>
      </c>
      <c r="D1" t="s">
        <v>525</v>
      </c>
      <c r="E1" t="s">
        <v>526</v>
      </c>
      <c r="F1" t="s">
        <v>527</v>
      </c>
      <c r="G1" t="s">
        <v>3</v>
      </c>
      <c r="H1" t="s">
        <v>4</v>
      </c>
      <c r="I1" t="s">
        <v>5</v>
      </c>
      <c r="J1" t="s">
        <v>6</v>
      </c>
      <c r="K1" t="s">
        <v>7</v>
      </c>
      <c r="L1" t="s">
        <v>8</v>
      </c>
      <c r="M1" t="s">
        <v>534</v>
      </c>
      <c r="N1" t="s">
        <v>537</v>
      </c>
      <c r="O1" t="s">
        <v>555</v>
      </c>
    </row>
    <row r="2" spans="1:15" x14ac:dyDescent="0.25">
      <c r="A2" t="s">
        <v>9</v>
      </c>
      <c r="B2" t="s">
        <v>10</v>
      </c>
      <c r="C2">
        <v>1</v>
      </c>
      <c r="D2">
        <v>101090000</v>
      </c>
      <c r="E2">
        <v>844750000</v>
      </c>
      <c r="F2">
        <v>67870000</v>
      </c>
      <c r="G2">
        <v>1468</v>
      </c>
      <c r="H2">
        <v>5.1999999999999998E-2</v>
      </c>
      <c r="I2" t="b">
        <v>0</v>
      </c>
      <c r="J2">
        <v>2006</v>
      </c>
      <c r="K2" t="s">
        <v>11</v>
      </c>
      <c r="L2" t="s">
        <v>12</v>
      </c>
      <c r="M2">
        <v>8.36</v>
      </c>
      <c r="N2">
        <v>46233</v>
      </c>
      <c r="O2">
        <v>19</v>
      </c>
    </row>
    <row r="3" spans="1:15" x14ac:dyDescent="0.25">
      <c r="A3" t="s">
        <v>30</v>
      </c>
      <c r="B3" t="s">
        <v>31</v>
      </c>
      <c r="C3">
        <v>3</v>
      </c>
      <c r="D3">
        <v>66240000</v>
      </c>
      <c r="E3">
        <v>707450000</v>
      </c>
      <c r="F3">
        <v>21800000</v>
      </c>
      <c r="G3">
        <v>3655</v>
      </c>
      <c r="H3">
        <v>9.9000000000000005E-2</v>
      </c>
      <c r="I3" t="b">
        <v>0</v>
      </c>
      <c r="J3">
        <v>1995</v>
      </c>
      <c r="K3" t="s">
        <v>11</v>
      </c>
      <c r="L3" t="s">
        <v>12</v>
      </c>
      <c r="M3">
        <v>10.68</v>
      </c>
      <c r="N3">
        <v>5964</v>
      </c>
      <c r="O3">
        <v>30</v>
      </c>
    </row>
    <row r="4" spans="1:15" x14ac:dyDescent="0.25">
      <c r="A4" t="s">
        <v>124</v>
      </c>
      <c r="B4" t="s">
        <v>36</v>
      </c>
      <c r="C4">
        <v>2</v>
      </c>
      <c r="D4">
        <v>191350000</v>
      </c>
      <c r="E4">
        <v>1139080000</v>
      </c>
      <c r="F4">
        <v>84490000</v>
      </c>
      <c r="G4">
        <v>4682</v>
      </c>
      <c r="H4">
        <v>3.44E-2</v>
      </c>
      <c r="I4" t="b">
        <v>0</v>
      </c>
      <c r="J4">
        <v>2000</v>
      </c>
      <c r="K4" t="s">
        <v>29</v>
      </c>
      <c r="L4" t="s">
        <v>12</v>
      </c>
      <c r="M4">
        <v>5.95</v>
      </c>
      <c r="N4">
        <v>18046</v>
      </c>
      <c r="O4">
        <v>25</v>
      </c>
    </row>
    <row r="5" spans="1:15" x14ac:dyDescent="0.25">
      <c r="A5" t="s">
        <v>125</v>
      </c>
      <c r="B5" t="s">
        <v>14</v>
      </c>
      <c r="C5">
        <v>1</v>
      </c>
      <c r="D5">
        <v>294180000</v>
      </c>
      <c r="E5">
        <v>2565350000</v>
      </c>
      <c r="F5">
        <v>26890000</v>
      </c>
      <c r="G5">
        <v>4795</v>
      </c>
      <c r="H5">
        <v>0.1</v>
      </c>
      <c r="I5" t="b">
        <v>0</v>
      </c>
      <c r="J5">
        <v>2002</v>
      </c>
      <c r="K5" t="s">
        <v>15</v>
      </c>
      <c r="L5" t="s">
        <v>12</v>
      </c>
      <c r="M5">
        <v>8.7200000000000006</v>
      </c>
      <c r="N5">
        <v>5608</v>
      </c>
      <c r="O5">
        <v>23</v>
      </c>
    </row>
    <row r="6" spans="1:15" x14ac:dyDescent="0.25">
      <c r="A6" t="s">
        <v>126</v>
      </c>
      <c r="B6" t="s">
        <v>18</v>
      </c>
      <c r="C6">
        <v>2</v>
      </c>
      <c r="D6">
        <v>271060000</v>
      </c>
      <c r="E6">
        <v>2095940000</v>
      </c>
      <c r="F6">
        <v>15720000</v>
      </c>
      <c r="G6">
        <v>1615</v>
      </c>
      <c r="H6">
        <v>4.1200000000000001E-2</v>
      </c>
      <c r="I6" t="b">
        <v>1</v>
      </c>
      <c r="J6">
        <v>1992</v>
      </c>
      <c r="K6" t="s">
        <v>25</v>
      </c>
      <c r="L6" t="s">
        <v>12</v>
      </c>
      <c r="M6">
        <v>7.73</v>
      </c>
      <c r="N6">
        <v>9734</v>
      </c>
      <c r="O6">
        <v>33</v>
      </c>
    </row>
    <row r="7" spans="1:15" x14ac:dyDescent="0.25">
      <c r="A7" t="s">
        <v>127</v>
      </c>
      <c r="B7" t="s">
        <v>72</v>
      </c>
      <c r="C7">
        <v>1</v>
      </c>
      <c r="D7">
        <v>194180000</v>
      </c>
      <c r="E7">
        <v>1862760000</v>
      </c>
      <c r="F7">
        <v>85320000</v>
      </c>
      <c r="G7">
        <v>3493</v>
      </c>
      <c r="H7">
        <v>2.2800000000000001E-2</v>
      </c>
      <c r="I7" t="b">
        <v>0</v>
      </c>
      <c r="J7">
        <v>1998</v>
      </c>
      <c r="K7" t="s">
        <v>25</v>
      </c>
      <c r="L7" t="s">
        <v>20</v>
      </c>
      <c r="M7">
        <v>9.59</v>
      </c>
      <c r="N7">
        <v>24426</v>
      </c>
      <c r="O7">
        <v>27</v>
      </c>
    </row>
    <row r="8" spans="1:15" x14ac:dyDescent="0.25">
      <c r="A8" t="s">
        <v>128</v>
      </c>
      <c r="B8" t="s">
        <v>36</v>
      </c>
      <c r="C8">
        <v>4</v>
      </c>
      <c r="D8">
        <v>208110000</v>
      </c>
      <c r="E8">
        <v>2489520000</v>
      </c>
      <c r="F8">
        <v>4750000</v>
      </c>
      <c r="G8">
        <v>2459</v>
      </c>
      <c r="H8">
        <v>7.6499999999999999E-2</v>
      </c>
      <c r="I8" t="b">
        <v>0</v>
      </c>
      <c r="J8">
        <v>2001</v>
      </c>
      <c r="K8" t="s">
        <v>29</v>
      </c>
      <c r="L8" t="s">
        <v>23</v>
      </c>
      <c r="M8">
        <v>11.96</v>
      </c>
      <c r="N8">
        <v>1932</v>
      </c>
      <c r="O8">
        <v>24</v>
      </c>
    </row>
    <row r="9" spans="1:15" x14ac:dyDescent="0.25">
      <c r="A9" t="s">
        <v>129</v>
      </c>
      <c r="B9" t="s">
        <v>10</v>
      </c>
      <c r="C9">
        <v>4</v>
      </c>
      <c r="D9">
        <v>15950000</v>
      </c>
      <c r="E9">
        <v>184790000</v>
      </c>
      <c r="F9">
        <v>62010000</v>
      </c>
      <c r="G9">
        <v>4499</v>
      </c>
      <c r="H9">
        <v>5.4699999999999999E-2</v>
      </c>
      <c r="I9" t="b">
        <v>0</v>
      </c>
      <c r="J9">
        <v>2012</v>
      </c>
      <c r="K9" t="s">
        <v>11</v>
      </c>
      <c r="L9" t="s">
        <v>23</v>
      </c>
      <c r="M9">
        <v>11.59</v>
      </c>
      <c r="N9">
        <v>13783</v>
      </c>
      <c r="O9">
        <v>13</v>
      </c>
    </row>
    <row r="10" spans="1:15" x14ac:dyDescent="0.25">
      <c r="A10" t="s">
        <v>130</v>
      </c>
      <c r="B10" t="s">
        <v>27</v>
      </c>
      <c r="C10">
        <v>5</v>
      </c>
      <c r="D10">
        <v>201140000</v>
      </c>
      <c r="E10">
        <v>1861510000</v>
      </c>
      <c r="F10">
        <v>56240000</v>
      </c>
      <c r="G10">
        <v>1951</v>
      </c>
      <c r="H10">
        <v>1.5800000000000002E-2</v>
      </c>
      <c r="I10" t="b">
        <v>0</v>
      </c>
      <c r="J10">
        <v>2003</v>
      </c>
      <c r="K10" t="s">
        <v>29</v>
      </c>
      <c r="L10" t="s">
        <v>12</v>
      </c>
      <c r="M10">
        <v>9.25</v>
      </c>
      <c r="N10">
        <v>28826</v>
      </c>
      <c r="O10">
        <v>22</v>
      </c>
    </row>
    <row r="11" spans="1:15" x14ac:dyDescent="0.25">
      <c r="A11" t="s">
        <v>131</v>
      </c>
      <c r="B11" t="s">
        <v>10</v>
      </c>
      <c r="C11">
        <v>2</v>
      </c>
      <c r="D11">
        <v>13730000</v>
      </c>
      <c r="E11">
        <v>176690000</v>
      </c>
      <c r="F11">
        <v>34660000</v>
      </c>
      <c r="G11">
        <v>4815</v>
      </c>
      <c r="H11">
        <v>3.8699999999999998E-2</v>
      </c>
      <c r="I11" t="b">
        <v>1</v>
      </c>
      <c r="J11">
        <v>2022</v>
      </c>
      <c r="K11" t="s">
        <v>29</v>
      </c>
      <c r="L11" t="s">
        <v>12</v>
      </c>
      <c r="M11">
        <v>12.87</v>
      </c>
      <c r="N11">
        <v>7198</v>
      </c>
      <c r="O11">
        <v>3</v>
      </c>
    </row>
    <row r="12" spans="1:15" x14ac:dyDescent="0.25">
      <c r="A12" t="s">
        <v>132</v>
      </c>
      <c r="B12" t="s">
        <v>18</v>
      </c>
      <c r="C12">
        <v>5</v>
      </c>
      <c r="D12">
        <v>176680000</v>
      </c>
      <c r="E12">
        <v>1443540000</v>
      </c>
      <c r="F12">
        <v>31590000</v>
      </c>
      <c r="G12">
        <v>4804</v>
      </c>
      <c r="H12">
        <v>4.2000000000000003E-2</v>
      </c>
      <c r="I12" t="b">
        <v>1</v>
      </c>
      <c r="J12">
        <v>2007</v>
      </c>
      <c r="K12" t="s">
        <v>25</v>
      </c>
      <c r="L12" t="s">
        <v>12</v>
      </c>
      <c r="M12">
        <v>8.17</v>
      </c>
      <c r="N12">
        <v>6576</v>
      </c>
      <c r="O12">
        <v>18</v>
      </c>
    </row>
    <row r="13" spans="1:15" x14ac:dyDescent="0.25">
      <c r="A13" t="s">
        <v>133</v>
      </c>
      <c r="B13" t="s">
        <v>72</v>
      </c>
      <c r="C13">
        <v>2</v>
      </c>
      <c r="D13">
        <v>299810000</v>
      </c>
      <c r="E13">
        <v>4125560000</v>
      </c>
      <c r="F13">
        <v>77210000</v>
      </c>
      <c r="G13">
        <v>2813</v>
      </c>
      <c r="H13">
        <v>7.5600000000000001E-2</v>
      </c>
      <c r="I13" t="b">
        <v>1</v>
      </c>
      <c r="J13">
        <v>1998</v>
      </c>
      <c r="K13" t="s">
        <v>15</v>
      </c>
      <c r="L13" t="s">
        <v>20</v>
      </c>
      <c r="M13">
        <v>13.76</v>
      </c>
      <c r="N13">
        <v>27448</v>
      </c>
      <c r="O13">
        <v>27</v>
      </c>
    </row>
    <row r="14" spans="1:15" x14ac:dyDescent="0.25">
      <c r="A14" t="s">
        <v>32</v>
      </c>
      <c r="B14" t="s">
        <v>22</v>
      </c>
      <c r="C14">
        <v>5</v>
      </c>
      <c r="D14">
        <v>292380000</v>
      </c>
      <c r="E14">
        <v>1665520000</v>
      </c>
      <c r="F14">
        <v>13870000</v>
      </c>
      <c r="G14">
        <v>4657</v>
      </c>
      <c r="H14">
        <v>9.5500000000000002E-2</v>
      </c>
      <c r="I14" t="b">
        <v>0</v>
      </c>
      <c r="J14">
        <v>1994</v>
      </c>
      <c r="K14" t="s">
        <v>11</v>
      </c>
      <c r="L14" t="s">
        <v>12</v>
      </c>
      <c r="M14">
        <v>5.7</v>
      </c>
      <c r="N14">
        <v>2978</v>
      </c>
      <c r="O14">
        <v>31</v>
      </c>
    </row>
    <row r="15" spans="1:15" x14ac:dyDescent="0.25">
      <c r="A15" t="s">
        <v>134</v>
      </c>
      <c r="B15" t="s">
        <v>18</v>
      </c>
      <c r="C15">
        <v>5</v>
      </c>
      <c r="D15">
        <v>166960000</v>
      </c>
      <c r="E15">
        <v>643690000</v>
      </c>
      <c r="F15">
        <v>8730000</v>
      </c>
      <c r="G15">
        <v>3830</v>
      </c>
      <c r="H15">
        <v>3.0000000000000001E-3</v>
      </c>
      <c r="I15" t="b">
        <v>0</v>
      </c>
      <c r="J15">
        <v>2012</v>
      </c>
      <c r="K15" t="s">
        <v>29</v>
      </c>
      <c r="L15" t="s">
        <v>12</v>
      </c>
      <c r="M15">
        <v>3.86</v>
      </c>
      <c r="N15">
        <v>2279</v>
      </c>
      <c r="O15">
        <v>13</v>
      </c>
    </row>
    <row r="16" spans="1:15" x14ac:dyDescent="0.25">
      <c r="A16" t="s">
        <v>135</v>
      </c>
      <c r="B16" t="s">
        <v>14</v>
      </c>
      <c r="C16">
        <v>3</v>
      </c>
      <c r="D16">
        <v>142230000</v>
      </c>
      <c r="E16">
        <v>2056070000</v>
      </c>
      <c r="F16">
        <v>23750000</v>
      </c>
      <c r="G16">
        <v>3541</v>
      </c>
      <c r="H16">
        <v>2.76E-2</v>
      </c>
      <c r="I16" t="b">
        <v>0</v>
      </c>
      <c r="J16">
        <v>1999</v>
      </c>
      <c r="K16" t="s">
        <v>11</v>
      </c>
      <c r="L16" t="s">
        <v>20</v>
      </c>
      <c r="M16">
        <v>14.46</v>
      </c>
      <c r="N16">
        <v>6707</v>
      </c>
      <c r="O16">
        <v>26</v>
      </c>
    </row>
    <row r="17" spans="1:15" x14ac:dyDescent="0.25">
      <c r="A17" t="s">
        <v>136</v>
      </c>
      <c r="B17" t="s">
        <v>31</v>
      </c>
      <c r="C17">
        <v>3</v>
      </c>
      <c r="D17">
        <v>94200000</v>
      </c>
      <c r="E17">
        <v>1022670000</v>
      </c>
      <c r="F17">
        <v>73270000</v>
      </c>
      <c r="G17">
        <v>3807</v>
      </c>
      <c r="H17">
        <v>5.2200000000000003E-2</v>
      </c>
      <c r="I17" t="b">
        <v>0</v>
      </c>
      <c r="J17">
        <v>2008</v>
      </c>
      <c r="K17" t="s">
        <v>38</v>
      </c>
      <c r="L17" t="s">
        <v>12</v>
      </c>
      <c r="M17">
        <v>10.86</v>
      </c>
      <c r="N17">
        <v>19246</v>
      </c>
      <c r="O17">
        <v>17</v>
      </c>
    </row>
    <row r="18" spans="1:15" x14ac:dyDescent="0.25">
      <c r="A18" t="s">
        <v>137</v>
      </c>
      <c r="B18" t="s">
        <v>72</v>
      </c>
      <c r="C18">
        <v>3</v>
      </c>
      <c r="D18">
        <v>36600000</v>
      </c>
      <c r="E18">
        <v>276730000</v>
      </c>
      <c r="F18">
        <v>54880000</v>
      </c>
      <c r="G18">
        <v>4182</v>
      </c>
      <c r="H18">
        <v>2.76E-2</v>
      </c>
      <c r="I18" t="b">
        <v>1</v>
      </c>
      <c r="J18">
        <v>1994</v>
      </c>
      <c r="K18" t="s">
        <v>29</v>
      </c>
      <c r="L18" t="s">
        <v>12</v>
      </c>
      <c r="M18">
        <v>7.56</v>
      </c>
      <c r="N18">
        <v>13123</v>
      </c>
      <c r="O18">
        <v>31</v>
      </c>
    </row>
    <row r="19" spans="1:15" x14ac:dyDescent="0.25">
      <c r="A19" t="s">
        <v>138</v>
      </c>
      <c r="B19" t="s">
        <v>31</v>
      </c>
      <c r="C19">
        <v>3</v>
      </c>
      <c r="D19">
        <v>219440000</v>
      </c>
      <c r="E19">
        <v>1177480000</v>
      </c>
      <c r="F19">
        <v>12890000</v>
      </c>
      <c r="G19">
        <v>4704</v>
      </c>
      <c r="H19">
        <v>6.3200000000000006E-2</v>
      </c>
      <c r="I19" t="b">
        <v>0</v>
      </c>
      <c r="J19">
        <v>2012</v>
      </c>
      <c r="K19" t="s">
        <v>29</v>
      </c>
      <c r="L19" t="s">
        <v>12</v>
      </c>
      <c r="M19">
        <v>5.37</v>
      </c>
      <c r="N19">
        <v>2740</v>
      </c>
      <c r="O19">
        <v>13</v>
      </c>
    </row>
    <row r="20" spans="1:15" x14ac:dyDescent="0.25">
      <c r="A20" t="s">
        <v>139</v>
      </c>
      <c r="B20" t="s">
        <v>36</v>
      </c>
      <c r="C20">
        <v>1</v>
      </c>
      <c r="D20">
        <v>58180000</v>
      </c>
      <c r="E20">
        <v>509090000</v>
      </c>
      <c r="F20">
        <v>88230000</v>
      </c>
      <c r="G20">
        <v>1975</v>
      </c>
      <c r="H20">
        <v>4.87E-2</v>
      </c>
      <c r="I20" t="b">
        <v>0</v>
      </c>
      <c r="J20">
        <v>2019</v>
      </c>
      <c r="K20" t="s">
        <v>11</v>
      </c>
      <c r="L20" t="s">
        <v>12</v>
      </c>
      <c r="M20">
        <v>8.75</v>
      </c>
      <c r="N20">
        <v>44673</v>
      </c>
      <c r="O20">
        <v>6</v>
      </c>
    </row>
    <row r="21" spans="1:15" x14ac:dyDescent="0.25">
      <c r="A21" t="s">
        <v>140</v>
      </c>
      <c r="B21" t="s">
        <v>27</v>
      </c>
      <c r="C21">
        <v>3</v>
      </c>
      <c r="D21">
        <v>35030000</v>
      </c>
      <c r="E21">
        <v>186870000</v>
      </c>
      <c r="F21">
        <v>39410000</v>
      </c>
      <c r="G21">
        <v>3827</v>
      </c>
      <c r="H21">
        <v>3.6799999999999999E-2</v>
      </c>
      <c r="I21" t="b">
        <v>1</v>
      </c>
      <c r="J21">
        <v>2014</v>
      </c>
      <c r="K21" t="s">
        <v>15</v>
      </c>
      <c r="L21" t="s">
        <v>12</v>
      </c>
      <c r="M21">
        <v>5.33</v>
      </c>
      <c r="N21">
        <v>10298</v>
      </c>
      <c r="O21">
        <v>11</v>
      </c>
    </row>
    <row r="22" spans="1:15" x14ac:dyDescent="0.25">
      <c r="A22" t="s">
        <v>141</v>
      </c>
      <c r="B22" t="s">
        <v>22</v>
      </c>
      <c r="C22">
        <v>4</v>
      </c>
      <c r="D22">
        <v>126820000</v>
      </c>
      <c r="E22">
        <v>633590000</v>
      </c>
      <c r="F22">
        <v>82800000</v>
      </c>
      <c r="G22">
        <v>2824</v>
      </c>
      <c r="H22">
        <v>9.5000000000000001E-2</v>
      </c>
      <c r="I22" t="b">
        <v>1</v>
      </c>
      <c r="J22">
        <v>2017</v>
      </c>
      <c r="K22" t="s">
        <v>29</v>
      </c>
      <c r="L22" t="s">
        <v>20</v>
      </c>
      <c r="M22">
        <v>5</v>
      </c>
      <c r="N22">
        <v>29320</v>
      </c>
      <c r="O22">
        <v>8</v>
      </c>
    </row>
    <row r="23" spans="1:15" x14ac:dyDescent="0.25">
      <c r="A23" t="s">
        <v>142</v>
      </c>
      <c r="B23" t="s">
        <v>18</v>
      </c>
      <c r="C23">
        <v>4</v>
      </c>
      <c r="D23">
        <v>238700000</v>
      </c>
      <c r="E23">
        <v>2484440000</v>
      </c>
      <c r="F23">
        <v>78790000</v>
      </c>
      <c r="G23">
        <v>907</v>
      </c>
      <c r="H23">
        <v>6.3600000000000004E-2</v>
      </c>
      <c r="I23" t="b">
        <v>0</v>
      </c>
      <c r="J23">
        <v>2014</v>
      </c>
      <c r="K23" t="s">
        <v>29</v>
      </c>
      <c r="L23" t="s">
        <v>12</v>
      </c>
      <c r="M23">
        <v>10.41</v>
      </c>
      <c r="N23">
        <v>86869</v>
      </c>
      <c r="O23">
        <v>11</v>
      </c>
    </row>
    <row r="24" spans="1:15" x14ac:dyDescent="0.25">
      <c r="A24" t="s">
        <v>143</v>
      </c>
      <c r="B24" t="s">
        <v>10</v>
      </c>
      <c r="C24">
        <v>1</v>
      </c>
      <c r="D24">
        <v>223650000</v>
      </c>
      <c r="E24">
        <v>2074800000</v>
      </c>
      <c r="F24">
        <v>62480000</v>
      </c>
      <c r="G24">
        <v>369</v>
      </c>
      <c r="H24">
        <v>1.3899999999999999E-2</v>
      </c>
      <c r="I24" t="b">
        <v>0</v>
      </c>
      <c r="J24">
        <v>1999</v>
      </c>
      <c r="K24" t="s">
        <v>15</v>
      </c>
      <c r="L24" t="s">
        <v>20</v>
      </c>
      <c r="M24">
        <v>9.2799999999999994</v>
      </c>
      <c r="N24">
        <v>169322</v>
      </c>
      <c r="O24">
        <v>26</v>
      </c>
    </row>
    <row r="25" spans="1:15" x14ac:dyDescent="0.25">
      <c r="A25" t="s">
        <v>33</v>
      </c>
      <c r="B25" t="s">
        <v>31</v>
      </c>
      <c r="C25">
        <v>2</v>
      </c>
      <c r="D25">
        <v>234040000</v>
      </c>
      <c r="E25">
        <v>1207680000</v>
      </c>
      <c r="F25">
        <v>66340000</v>
      </c>
      <c r="G25">
        <v>1183</v>
      </c>
      <c r="H25">
        <v>0.05</v>
      </c>
      <c r="I25" t="b">
        <v>0</v>
      </c>
      <c r="J25">
        <v>2011</v>
      </c>
      <c r="K25" t="s">
        <v>11</v>
      </c>
      <c r="L25" t="s">
        <v>12</v>
      </c>
      <c r="M25">
        <v>5.16</v>
      </c>
      <c r="N25">
        <v>56078</v>
      </c>
      <c r="O25">
        <v>14</v>
      </c>
    </row>
    <row r="26" spans="1:15" x14ac:dyDescent="0.25">
      <c r="A26" t="s">
        <v>144</v>
      </c>
      <c r="B26" t="s">
        <v>27</v>
      </c>
      <c r="C26">
        <v>3</v>
      </c>
      <c r="D26">
        <v>16940000</v>
      </c>
      <c r="E26">
        <v>187040000</v>
      </c>
      <c r="F26">
        <v>49500000</v>
      </c>
      <c r="G26">
        <v>4263</v>
      </c>
      <c r="H26">
        <v>5.6399999999999999E-2</v>
      </c>
      <c r="I26" t="b">
        <v>0</v>
      </c>
      <c r="J26">
        <v>2003</v>
      </c>
      <c r="K26" t="s">
        <v>11</v>
      </c>
      <c r="L26" t="s">
        <v>12</v>
      </c>
      <c r="M26">
        <v>11.04</v>
      </c>
      <c r="N26">
        <v>11612</v>
      </c>
      <c r="O26">
        <v>22</v>
      </c>
    </row>
    <row r="27" spans="1:15" x14ac:dyDescent="0.25">
      <c r="A27" t="s">
        <v>145</v>
      </c>
      <c r="B27" t="s">
        <v>72</v>
      </c>
      <c r="C27">
        <v>3</v>
      </c>
      <c r="D27">
        <v>136820000</v>
      </c>
      <c r="E27">
        <v>1936720000</v>
      </c>
      <c r="F27">
        <v>97960000</v>
      </c>
      <c r="G27">
        <v>3124</v>
      </c>
      <c r="H27">
        <v>7.8299999999999995E-2</v>
      </c>
      <c r="I27" t="b">
        <v>1</v>
      </c>
      <c r="J27">
        <v>2019</v>
      </c>
      <c r="K27" t="s">
        <v>29</v>
      </c>
      <c r="L27" t="s">
        <v>12</v>
      </c>
      <c r="M27">
        <v>14.16</v>
      </c>
      <c r="N27">
        <v>31357</v>
      </c>
      <c r="O27">
        <v>6</v>
      </c>
    </row>
    <row r="28" spans="1:15" x14ac:dyDescent="0.25">
      <c r="A28" t="s">
        <v>146</v>
      </c>
      <c r="B28" t="s">
        <v>31</v>
      </c>
      <c r="C28">
        <v>3</v>
      </c>
      <c r="D28">
        <v>156970000</v>
      </c>
      <c r="E28">
        <v>1473500000</v>
      </c>
      <c r="F28">
        <v>14580000</v>
      </c>
      <c r="G28">
        <v>2563</v>
      </c>
      <c r="H28">
        <v>7.1099999999999997E-2</v>
      </c>
      <c r="I28" t="b">
        <v>0</v>
      </c>
      <c r="J28">
        <v>2014</v>
      </c>
      <c r="K28" t="s">
        <v>15</v>
      </c>
      <c r="L28" t="s">
        <v>20</v>
      </c>
      <c r="M28">
        <v>9.39</v>
      </c>
      <c r="N28">
        <v>5689</v>
      </c>
      <c r="O28">
        <v>11</v>
      </c>
    </row>
    <row r="29" spans="1:15" x14ac:dyDescent="0.25">
      <c r="A29" t="s">
        <v>147</v>
      </c>
      <c r="B29" t="s">
        <v>10</v>
      </c>
      <c r="C29">
        <v>5</v>
      </c>
      <c r="D29">
        <v>193540000</v>
      </c>
      <c r="E29">
        <v>1929820000</v>
      </c>
      <c r="F29">
        <v>72540000</v>
      </c>
      <c r="G29">
        <v>1868</v>
      </c>
      <c r="H29">
        <v>1.7999999999999999E-2</v>
      </c>
      <c r="I29" t="b">
        <v>1</v>
      </c>
      <c r="J29">
        <v>2003</v>
      </c>
      <c r="K29" t="s">
        <v>29</v>
      </c>
      <c r="L29" t="s">
        <v>23</v>
      </c>
      <c r="M29">
        <v>9.9700000000000006</v>
      </c>
      <c r="N29">
        <v>38833</v>
      </c>
      <c r="O29">
        <v>22</v>
      </c>
    </row>
    <row r="30" spans="1:15" x14ac:dyDescent="0.25">
      <c r="A30" t="s">
        <v>148</v>
      </c>
      <c r="B30" t="s">
        <v>31</v>
      </c>
      <c r="C30">
        <v>2</v>
      </c>
      <c r="D30">
        <v>195230000</v>
      </c>
      <c r="E30">
        <v>795660000</v>
      </c>
      <c r="F30">
        <v>19200000</v>
      </c>
      <c r="G30">
        <v>120</v>
      </c>
      <c r="H30">
        <v>9.7299999999999998E-2</v>
      </c>
      <c r="I30" t="b">
        <v>0</v>
      </c>
      <c r="J30">
        <v>1999</v>
      </c>
      <c r="K30" t="s">
        <v>38</v>
      </c>
      <c r="L30" t="s">
        <v>12</v>
      </c>
      <c r="M30">
        <v>4.08</v>
      </c>
      <c r="N30">
        <v>160000</v>
      </c>
      <c r="O30">
        <v>26</v>
      </c>
    </row>
    <row r="31" spans="1:15" x14ac:dyDescent="0.25">
      <c r="A31" t="s">
        <v>149</v>
      </c>
      <c r="B31" t="s">
        <v>14</v>
      </c>
      <c r="C31">
        <v>5</v>
      </c>
      <c r="D31">
        <v>109730000</v>
      </c>
      <c r="E31">
        <v>1274140000</v>
      </c>
      <c r="F31">
        <v>33890000</v>
      </c>
      <c r="G31">
        <v>2389</v>
      </c>
      <c r="H31">
        <v>4.5400000000000003E-2</v>
      </c>
      <c r="I31" t="b">
        <v>1</v>
      </c>
      <c r="J31">
        <v>2000</v>
      </c>
      <c r="K31" t="s">
        <v>25</v>
      </c>
      <c r="L31" t="s">
        <v>12</v>
      </c>
      <c r="M31">
        <v>11.61</v>
      </c>
      <c r="N31">
        <v>14186</v>
      </c>
      <c r="O31">
        <v>25</v>
      </c>
    </row>
    <row r="32" spans="1:15" x14ac:dyDescent="0.25">
      <c r="A32" t="s">
        <v>150</v>
      </c>
      <c r="B32" t="s">
        <v>31</v>
      </c>
      <c r="C32">
        <v>2</v>
      </c>
      <c r="D32">
        <v>168420000</v>
      </c>
      <c r="E32">
        <v>1313480000</v>
      </c>
      <c r="F32">
        <v>30940000</v>
      </c>
      <c r="G32">
        <v>4981</v>
      </c>
      <c r="H32">
        <v>1.67E-2</v>
      </c>
      <c r="I32" t="b">
        <v>1</v>
      </c>
      <c r="J32">
        <v>2000</v>
      </c>
      <c r="K32" t="s">
        <v>38</v>
      </c>
      <c r="L32" t="s">
        <v>12</v>
      </c>
      <c r="M32">
        <v>7.8</v>
      </c>
      <c r="N32">
        <v>6212</v>
      </c>
      <c r="O32">
        <v>25</v>
      </c>
    </row>
    <row r="33" spans="1:15" x14ac:dyDescent="0.25">
      <c r="A33" t="s">
        <v>151</v>
      </c>
      <c r="B33" t="s">
        <v>14</v>
      </c>
      <c r="C33">
        <v>3</v>
      </c>
      <c r="D33">
        <v>144580000</v>
      </c>
      <c r="E33">
        <v>2128320000</v>
      </c>
      <c r="F33">
        <v>94710000</v>
      </c>
      <c r="G33">
        <v>3940</v>
      </c>
      <c r="H33">
        <v>1.8800000000000001E-2</v>
      </c>
      <c r="I33" t="b">
        <v>0</v>
      </c>
      <c r="J33">
        <v>2010</v>
      </c>
      <c r="K33" t="s">
        <v>29</v>
      </c>
      <c r="L33" t="s">
        <v>20</v>
      </c>
      <c r="M33">
        <v>14.72</v>
      </c>
      <c r="N33">
        <v>24038</v>
      </c>
      <c r="O33">
        <v>15</v>
      </c>
    </row>
    <row r="34" spans="1:15" x14ac:dyDescent="0.25">
      <c r="A34" t="s">
        <v>152</v>
      </c>
      <c r="B34" t="s">
        <v>36</v>
      </c>
      <c r="C34">
        <v>3</v>
      </c>
      <c r="D34">
        <v>265560000</v>
      </c>
      <c r="E34">
        <v>3419910000</v>
      </c>
      <c r="F34">
        <v>96740000</v>
      </c>
      <c r="G34">
        <v>4940</v>
      </c>
      <c r="H34">
        <v>1.0699999999999999E-2</v>
      </c>
      <c r="I34" t="b">
        <v>1</v>
      </c>
      <c r="J34">
        <v>2010</v>
      </c>
      <c r="K34" t="s">
        <v>11</v>
      </c>
      <c r="L34" t="s">
        <v>20</v>
      </c>
      <c r="M34">
        <v>12.88</v>
      </c>
      <c r="N34">
        <v>19583</v>
      </c>
      <c r="O34">
        <v>15</v>
      </c>
    </row>
    <row r="35" spans="1:15" x14ac:dyDescent="0.25">
      <c r="A35" t="s">
        <v>153</v>
      </c>
      <c r="B35" t="s">
        <v>10</v>
      </c>
      <c r="C35">
        <v>5</v>
      </c>
      <c r="D35">
        <v>159310000</v>
      </c>
      <c r="E35">
        <v>1476770000</v>
      </c>
      <c r="F35">
        <v>18380000</v>
      </c>
      <c r="G35">
        <v>2495</v>
      </c>
      <c r="H35">
        <v>8.0500000000000002E-2</v>
      </c>
      <c r="I35" t="b">
        <v>0</v>
      </c>
      <c r="J35">
        <v>2011</v>
      </c>
      <c r="K35" t="s">
        <v>25</v>
      </c>
      <c r="L35" t="s">
        <v>12</v>
      </c>
      <c r="M35">
        <v>9.27</v>
      </c>
      <c r="N35">
        <v>7367</v>
      </c>
      <c r="O35">
        <v>14</v>
      </c>
    </row>
    <row r="36" spans="1:15" x14ac:dyDescent="0.25">
      <c r="A36" t="s">
        <v>34</v>
      </c>
      <c r="B36" t="s">
        <v>10</v>
      </c>
      <c r="C36">
        <v>3</v>
      </c>
      <c r="D36">
        <v>34710000</v>
      </c>
      <c r="E36">
        <v>141020000</v>
      </c>
      <c r="F36">
        <v>290000</v>
      </c>
      <c r="G36">
        <v>4463</v>
      </c>
      <c r="H36">
        <v>5.1799999999999999E-2</v>
      </c>
      <c r="I36" t="b">
        <v>1</v>
      </c>
      <c r="J36">
        <v>2012</v>
      </c>
      <c r="K36" t="s">
        <v>25</v>
      </c>
      <c r="L36" t="s">
        <v>20</v>
      </c>
      <c r="M36">
        <v>4.0599999999999996</v>
      </c>
      <c r="N36">
        <v>65</v>
      </c>
      <c r="O36">
        <v>13</v>
      </c>
    </row>
    <row r="37" spans="1:15" x14ac:dyDescent="0.25">
      <c r="A37" t="s">
        <v>154</v>
      </c>
      <c r="B37" t="s">
        <v>10</v>
      </c>
      <c r="C37">
        <v>5</v>
      </c>
      <c r="D37">
        <v>132590000</v>
      </c>
      <c r="E37">
        <v>593830000</v>
      </c>
      <c r="F37">
        <v>2300000</v>
      </c>
      <c r="G37">
        <v>947</v>
      </c>
      <c r="H37">
        <v>1.3100000000000001E-2</v>
      </c>
      <c r="I37" t="b">
        <v>1</v>
      </c>
      <c r="J37">
        <v>1996</v>
      </c>
      <c r="K37" t="s">
        <v>38</v>
      </c>
      <c r="L37" t="s">
        <v>12</v>
      </c>
      <c r="M37">
        <v>4.4800000000000004</v>
      </c>
      <c r="N37">
        <v>2429</v>
      </c>
      <c r="O37">
        <v>29</v>
      </c>
    </row>
    <row r="38" spans="1:15" x14ac:dyDescent="0.25">
      <c r="A38" t="s">
        <v>155</v>
      </c>
      <c r="B38" t="s">
        <v>22</v>
      </c>
      <c r="C38">
        <v>2</v>
      </c>
      <c r="D38">
        <v>121640000</v>
      </c>
      <c r="E38">
        <v>1619390000</v>
      </c>
      <c r="F38">
        <v>72030000</v>
      </c>
      <c r="G38">
        <v>1729</v>
      </c>
      <c r="H38">
        <v>1.34E-2</v>
      </c>
      <c r="I38" t="b">
        <v>1</v>
      </c>
      <c r="J38">
        <v>2006</v>
      </c>
      <c r="K38" t="s">
        <v>15</v>
      </c>
      <c r="L38" t="s">
        <v>20</v>
      </c>
      <c r="M38">
        <v>13.31</v>
      </c>
      <c r="N38">
        <v>41660</v>
      </c>
      <c r="O38">
        <v>19</v>
      </c>
    </row>
    <row r="39" spans="1:15" x14ac:dyDescent="0.25">
      <c r="A39" t="s">
        <v>156</v>
      </c>
      <c r="B39" t="s">
        <v>72</v>
      </c>
      <c r="C39">
        <v>4</v>
      </c>
      <c r="D39">
        <v>171940000</v>
      </c>
      <c r="E39">
        <v>2165990000</v>
      </c>
      <c r="F39">
        <v>41860000</v>
      </c>
      <c r="G39">
        <v>2339</v>
      </c>
      <c r="H39">
        <v>8.5199999999999998E-2</v>
      </c>
      <c r="I39" t="b">
        <v>0</v>
      </c>
      <c r="J39">
        <v>1991</v>
      </c>
      <c r="K39" t="s">
        <v>11</v>
      </c>
      <c r="L39" t="s">
        <v>12</v>
      </c>
      <c r="M39">
        <v>12.6</v>
      </c>
      <c r="N39">
        <v>17897</v>
      </c>
      <c r="O39">
        <v>34</v>
      </c>
    </row>
    <row r="40" spans="1:15" x14ac:dyDescent="0.25">
      <c r="A40" t="s">
        <v>157</v>
      </c>
      <c r="B40" t="s">
        <v>14</v>
      </c>
      <c r="C40">
        <v>2</v>
      </c>
      <c r="D40">
        <v>241290000</v>
      </c>
      <c r="E40">
        <v>1258330000</v>
      </c>
      <c r="F40">
        <v>8980000</v>
      </c>
      <c r="G40">
        <v>2772</v>
      </c>
      <c r="H40">
        <v>3.5099999999999999E-2</v>
      </c>
      <c r="I40" t="b">
        <v>1</v>
      </c>
      <c r="J40">
        <v>2001</v>
      </c>
      <c r="K40" t="s">
        <v>38</v>
      </c>
      <c r="L40" t="s">
        <v>20</v>
      </c>
      <c r="M40">
        <v>5.22</v>
      </c>
      <c r="N40">
        <v>3240</v>
      </c>
      <c r="O40">
        <v>24</v>
      </c>
    </row>
    <row r="41" spans="1:15" x14ac:dyDescent="0.25">
      <c r="A41" t="s">
        <v>158</v>
      </c>
      <c r="B41" t="s">
        <v>22</v>
      </c>
      <c r="C41">
        <v>5</v>
      </c>
      <c r="D41">
        <v>161750000</v>
      </c>
      <c r="E41">
        <v>1058390000</v>
      </c>
      <c r="F41">
        <v>68410000</v>
      </c>
      <c r="G41">
        <v>1142</v>
      </c>
      <c r="H41">
        <v>4.1000000000000003E-3</v>
      </c>
      <c r="I41" t="b">
        <v>1</v>
      </c>
      <c r="J41">
        <v>2007</v>
      </c>
      <c r="K41" t="s">
        <v>15</v>
      </c>
      <c r="L41" t="s">
        <v>12</v>
      </c>
      <c r="M41">
        <v>6.54</v>
      </c>
      <c r="N41">
        <v>59904</v>
      </c>
      <c r="O41">
        <v>18</v>
      </c>
    </row>
    <row r="42" spans="1:15" x14ac:dyDescent="0.25">
      <c r="A42" t="s">
        <v>159</v>
      </c>
      <c r="B42" t="s">
        <v>31</v>
      </c>
      <c r="C42">
        <v>5</v>
      </c>
      <c r="D42">
        <v>198670000</v>
      </c>
      <c r="E42">
        <v>2487520000</v>
      </c>
      <c r="F42">
        <v>54560000</v>
      </c>
      <c r="G42">
        <v>2532</v>
      </c>
      <c r="H42">
        <v>6.1000000000000004E-3</v>
      </c>
      <c r="I42" t="b">
        <v>0</v>
      </c>
      <c r="J42">
        <v>2000</v>
      </c>
      <c r="K42" t="s">
        <v>29</v>
      </c>
      <c r="L42" t="s">
        <v>12</v>
      </c>
      <c r="M42">
        <v>12.52</v>
      </c>
      <c r="N42">
        <v>21548</v>
      </c>
      <c r="O42">
        <v>25</v>
      </c>
    </row>
    <row r="43" spans="1:15" x14ac:dyDescent="0.25">
      <c r="A43" t="s">
        <v>160</v>
      </c>
      <c r="B43" t="s">
        <v>31</v>
      </c>
      <c r="C43">
        <v>1</v>
      </c>
      <c r="D43">
        <v>221490000</v>
      </c>
      <c r="E43">
        <v>1156780000</v>
      </c>
      <c r="F43">
        <v>98050000</v>
      </c>
      <c r="G43">
        <v>4122</v>
      </c>
      <c r="H43">
        <v>1.5100000000000001E-2</v>
      </c>
      <c r="I43" t="b">
        <v>0</v>
      </c>
      <c r="J43">
        <v>2005</v>
      </c>
      <c r="K43" t="s">
        <v>15</v>
      </c>
      <c r="L43" t="s">
        <v>12</v>
      </c>
      <c r="M43">
        <v>5.22</v>
      </c>
      <c r="N43">
        <v>23787</v>
      </c>
      <c r="O43">
        <v>20</v>
      </c>
    </row>
    <row r="44" spans="1:15" x14ac:dyDescent="0.25">
      <c r="A44" t="s">
        <v>161</v>
      </c>
      <c r="B44" t="s">
        <v>22</v>
      </c>
      <c r="C44">
        <v>5</v>
      </c>
      <c r="D44">
        <v>156290000</v>
      </c>
      <c r="E44">
        <v>2190100000</v>
      </c>
      <c r="F44">
        <v>22820000</v>
      </c>
      <c r="G44">
        <v>3425</v>
      </c>
      <c r="H44">
        <v>2.2100000000000002E-2</v>
      </c>
      <c r="I44" t="b">
        <v>1</v>
      </c>
      <c r="J44">
        <v>2007</v>
      </c>
      <c r="K44" t="s">
        <v>38</v>
      </c>
      <c r="L44" t="s">
        <v>12</v>
      </c>
      <c r="M44">
        <v>14.01</v>
      </c>
      <c r="N44">
        <v>6663</v>
      </c>
      <c r="O44">
        <v>18</v>
      </c>
    </row>
    <row r="45" spans="1:15" x14ac:dyDescent="0.25">
      <c r="A45" t="s">
        <v>162</v>
      </c>
      <c r="B45" t="s">
        <v>10</v>
      </c>
      <c r="C45">
        <v>1</v>
      </c>
      <c r="D45">
        <v>128330000</v>
      </c>
      <c r="E45">
        <v>1038750000</v>
      </c>
      <c r="F45">
        <v>40460000</v>
      </c>
      <c r="G45">
        <v>4783</v>
      </c>
      <c r="H45">
        <v>6.6799999999999998E-2</v>
      </c>
      <c r="I45" t="b">
        <v>1</v>
      </c>
      <c r="J45">
        <v>2015</v>
      </c>
      <c r="K45" t="s">
        <v>38</v>
      </c>
      <c r="L45" t="s">
        <v>12</v>
      </c>
      <c r="M45">
        <v>8.09</v>
      </c>
      <c r="N45">
        <v>8459</v>
      </c>
      <c r="O45">
        <v>10</v>
      </c>
    </row>
    <row r="46" spans="1:15" x14ac:dyDescent="0.25">
      <c r="A46" t="s">
        <v>163</v>
      </c>
      <c r="B46" t="s">
        <v>31</v>
      </c>
      <c r="C46">
        <v>4</v>
      </c>
      <c r="D46">
        <v>263060000</v>
      </c>
      <c r="E46">
        <v>1063940000</v>
      </c>
      <c r="F46">
        <v>54300000</v>
      </c>
      <c r="G46">
        <v>3911</v>
      </c>
      <c r="H46">
        <v>1.66E-2</v>
      </c>
      <c r="I46" t="b">
        <v>0</v>
      </c>
      <c r="J46">
        <v>2005</v>
      </c>
      <c r="K46" t="s">
        <v>29</v>
      </c>
      <c r="L46" t="s">
        <v>20</v>
      </c>
      <c r="M46">
        <v>4.04</v>
      </c>
      <c r="N46">
        <v>13884</v>
      </c>
      <c r="O46">
        <v>20</v>
      </c>
    </row>
    <row r="47" spans="1:15" x14ac:dyDescent="0.25">
      <c r="A47" t="s">
        <v>35</v>
      </c>
      <c r="B47" t="s">
        <v>36</v>
      </c>
      <c r="C47">
        <v>5</v>
      </c>
      <c r="D47">
        <v>169950000</v>
      </c>
      <c r="E47">
        <v>720540000</v>
      </c>
      <c r="F47">
        <v>17920000</v>
      </c>
      <c r="G47">
        <v>1262</v>
      </c>
      <c r="H47">
        <v>4.87E-2</v>
      </c>
      <c r="I47" t="b">
        <v>0</v>
      </c>
      <c r="J47">
        <v>2014</v>
      </c>
      <c r="K47" t="s">
        <v>15</v>
      </c>
      <c r="L47" t="s">
        <v>20</v>
      </c>
      <c r="M47">
        <v>4.24</v>
      </c>
      <c r="N47">
        <v>14200</v>
      </c>
      <c r="O47">
        <v>11</v>
      </c>
    </row>
    <row r="48" spans="1:15" x14ac:dyDescent="0.25">
      <c r="A48" t="s">
        <v>164</v>
      </c>
      <c r="B48" t="s">
        <v>18</v>
      </c>
      <c r="C48">
        <v>2</v>
      </c>
      <c r="D48">
        <v>125540000</v>
      </c>
      <c r="E48">
        <v>1605530000</v>
      </c>
      <c r="F48">
        <v>79190000</v>
      </c>
      <c r="G48">
        <v>3642</v>
      </c>
      <c r="H48">
        <v>1.2800000000000001E-2</v>
      </c>
      <c r="I48" t="b">
        <v>0</v>
      </c>
      <c r="J48">
        <v>1995</v>
      </c>
      <c r="K48" t="s">
        <v>15</v>
      </c>
      <c r="L48" t="s">
        <v>20</v>
      </c>
      <c r="M48">
        <v>12.79</v>
      </c>
      <c r="N48">
        <v>21744</v>
      </c>
      <c r="O48">
        <v>30</v>
      </c>
    </row>
    <row r="49" spans="1:15" x14ac:dyDescent="0.25">
      <c r="A49" t="s">
        <v>165</v>
      </c>
      <c r="B49" t="s">
        <v>36</v>
      </c>
      <c r="C49">
        <v>2</v>
      </c>
      <c r="D49">
        <v>138850000</v>
      </c>
      <c r="E49">
        <v>1038890000</v>
      </c>
      <c r="F49">
        <v>54930000</v>
      </c>
      <c r="G49">
        <v>2958</v>
      </c>
      <c r="H49">
        <v>7.6700000000000004E-2</v>
      </c>
      <c r="I49" t="b">
        <v>0</v>
      </c>
      <c r="J49">
        <v>2001</v>
      </c>
      <c r="K49" t="s">
        <v>15</v>
      </c>
      <c r="L49" t="s">
        <v>12</v>
      </c>
      <c r="M49">
        <v>7.48</v>
      </c>
      <c r="N49">
        <v>18570</v>
      </c>
      <c r="O49">
        <v>24</v>
      </c>
    </row>
    <row r="50" spans="1:15" x14ac:dyDescent="0.25">
      <c r="A50" t="s">
        <v>166</v>
      </c>
      <c r="B50" t="s">
        <v>36</v>
      </c>
      <c r="C50">
        <v>1</v>
      </c>
      <c r="D50">
        <v>297110000</v>
      </c>
      <c r="E50">
        <v>2768470000</v>
      </c>
      <c r="F50">
        <v>61330000</v>
      </c>
      <c r="G50">
        <v>2372</v>
      </c>
      <c r="H50">
        <v>6.7400000000000002E-2</v>
      </c>
      <c r="I50" t="b">
        <v>0</v>
      </c>
      <c r="J50">
        <v>2002</v>
      </c>
      <c r="K50" t="s">
        <v>29</v>
      </c>
      <c r="L50" t="s">
        <v>12</v>
      </c>
      <c r="M50">
        <v>9.32</v>
      </c>
      <c r="N50">
        <v>25856</v>
      </c>
      <c r="O50">
        <v>23</v>
      </c>
    </row>
    <row r="51" spans="1:15" x14ac:dyDescent="0.25">
      <c r="A51" t="s">
        <v>167</v>
      </c>
      <c r="B51" t="s">
        <v>18</v>
      </c>
      <c r="C51">
        <v>2</v>
      </c>
      <c r="D51">
        <v>570000</v>
      </c>
      <c r="E51">
        <v>2480000</v>
      </c>
      <c r="F51">
        <v>22690000</v>
      </c>
      <c r="G51">
        <v>4226</v>
      </c>
      <c r="H51">
        <v>4.41E-2</v>
      </c>
      <c r="I51" t="b">
        <v>0</v>
      </c>
      <c r="J51">
        <v>1993</v>
      </c>
      <c r="K51" t="s">
        <v>15</v>
      </c>
      <c r="L51" t="s">
        <v>12</v>
      </c>
      <c r="M51">
        <v>4.3499999999999996</v>
      </c>
      <c r="N51">
        <v>5369</v>
      </c>
      <c r="O51">
        <v>32</v>
      </c>
    </row>
    <row r="52" spans="1:15" x14ac:dyDescent="0.25">
      <c r="A52" t="s">
        <v>168</v>
      </c>
      <c r="B52" t="s">
        <v>22</v>
      </c>
      <c r="C52">
        <v>5</v>
      </c>
      <c r="D52">
        <v>56050000</v>
      </c>
      <c r="E52">
        <v>169890000</v>
      </c>
      <c r="F52">
        <v>84710000</v>
      </c>
      <c r="G52">
        <v>281</v>
      </c>
      <c r="H52">
        <v>5.5399999999999998E-2</v>
      </c>
      <c r="I52" t="b">
        <v>1</v>
      </c>
      <c r="J52">
        <v>1991</v>
      </c>
      <c r="K52" t="s">
        <v>29</v>
      </c>
      <c r="L52" t="s">
        <v>12</v>
      </c>
      <c r="M52">
        <v>3.03</v>
      </c>
      <c r="N52">
        <v>301459</v>
      </c>
      <c r="O52">
        <v>34</v>
      </c>
    </row>
    <row r="53" spans="1:15" x14ac:dyDescent="0.25">
      <c r="A53" t="s">
        <v>169</v>
      </c>
      <c r="B53" t="s">
        <v>18</v>
      </c>
      <c r="C53">
        <v>3</v>
      </c>
      <c r="D53">
        <v>115500000</v>
      </c>
      <c r="E53">
        <v>1230750000</v>
      </c>
      <c r="F53">
        <v>42920000</v>
      </c>
      <c r="G53">
        <v>2004</v>
      </c>
      <c r="H53">
        <v>3.1899999999999998E-2</v>
      </c>
      <c r="I53" t="b">
        <v>0</v>
      </c>
      <c r="J53">
        <v>2015</v>
      </c>
      <c r="K53" t="s">
        <v>11</v>
      </c>
      <c r="L53" t="s">
        <v>12</v>
      </c>
      <c r="M53">
        <v>10.66</v>
      </c>
      <c r="N53">
        <v>21417</v>
      </c>
      <c r="O53">
        <v>10</v>
      </c>
    </row>
    <row r="54" spans="1:15" x14ac:dyDescent="0.25">
      <c r="A54" t="s">
        <v>170</v>
      </c>
      <c r="B54" t="s">
        <v>14</v>
      </c>
      <c r="C54">
        <v>1</v>
      </c>
      <c r="D54">
        <v>279810000</v>
      </c>
      <c r="E54">
        <v>2569240000</v>
      </c>
      <c r="F54">
        <v>14180000</v>
      </c>
      <c r="G54">
        <v>1232</v>
      </c>
      <c r="H54">
        <v>4.8800000000000003E-2</v>
      </c>
      <c r="I54" t="b">
        <v>1</v>
      </c>
      <c r="J54">
        <v>2016</v>
      </c>
      <c r="K54" t="s">
        <v>38</v>
      </c>
      <c r="L54" t="s">
        <v>20</v>
      </c>
      <c r="M54">
        <v>9.18</v>
      </c>
      <c r="N54">
        <v>11510</v>
      </c>
      <c r="O54">
        <v>9</v>
      </c>
    </row>
    <row r="55" spans="1:15" x14ac:dyDescent="0.25">
      <c r="A55" t="s">
        <v>171</v>
      </c>
      <c r="B55" t="s">
        <v>14</v>
      </c>
      <c r="C55">
        <v>2</v>
      </c>
      <c r="D55">
        <v>21470000</v>
      </c>
      <c r="E55">
        <v>217330000</v>
      </c>
      <c r="F55">
        <v>66450000</v>
      </c>
      <c r="G55">
        <v>3757</v>
      </c>
      <c r="H55">
        <v>5.1200000000000002E-2</v>
      </c>
      <c r="I55" t="b">
        <v>0</v>
      </c>
      <c r="J55">
        <v>2016</v>
      </c>
      <c r="K55" t="s">
        <v>11</v>
      </c>
      <c r="L55" t="s">
        <v>12</v>
      </c>
      <c r="M55">
        <v>10.119999999999999</v>
      </c>
      <c r="N55">
        <v>17687</v>
      </c>
      <c r="O55">
        <v>9</v>
      </c>
    </row>
    <row r="56" spans="1:15" x14ac:dyDescent="0.25">
      <c r="A56" t="s">
        <v>172</v>
      </c>
      <c r="B56" t="s">
        <v>22</v>
      </c>
      <c r="C56">
        <v>1</v>
      </c>
      <c r="D56">
        <v>3340000</v>
      </c>
      <c r="E56">
        <v>41830000</v>
      </c>
      <c r="F56">
        <v>21690000</v>
      </c>
      <c r="G56">
        <v>3740</v>
      </c>
      <c r="H56">
        <v>3.9300000000000002E-2</v>
      </c>
      <c r="I56" t="b">
        <v>0</v>
      </c>
      <c r="J56">
        <v>2004</v>
      </c>
      <c r="K56" t="s">
        <v>25</v>
      </c>
      <c r="L56" t="s">
        <v>12</v>
      </c>
      <c r="M56">
        <v>12.52</v>
      </c>
      <c r="N56">
        <v>5799</v>
      </c>
      <c r="O56">
        <v>21</v>
      </c>
    </row>
    <row r="57" spans="1:15" x14ac:dyDescent="0.25">
      <c r="A57" t="s">
        <v>173</v>
      </c>
      <c r="B57" t="s">
        <v>18</v>
      </c>
      <c r="C57">
        <v>1</v>
      </c>
      <c r="D57">
        <v>16280000</v>
      </c>
      <c r="E57">
        <v>175160000</v>
      </c>
      <c r="F57">
        <v>9850000</v>
      </c>
      <c r="G57">
        <v>700</v>
      </c>
      <c r="H57">
        <v>9.0800000000000006E-2</v>
      </c>
      <c r="I57" t="b">
        <v>0</v>
      </c>
      <c r="J57">
        <v>1997</v>
      </c>
      <c r="K57" t="s">
        <v>25</v>
      </c>
      <c r="L57" t="s">
        <v>12</v>
      </c>
      <c r="M57">
        <v>10.76</v>
      </c>
      <c r="N57">
        <v>14071</v>
      </c>
      <c r="O57">
        <v>28</v>
      </c>
    </row>
    <row r="58" spans="1:15" x14ac:dyDescent="0.25">
      <c r="A58" t="s">
        <v>37</v>
      </c>
      <c r="B58" t="s">
        <v>31</v>
      </c>
      <c r="C58">
        <v>1</v>
      </c>
      <c r="D58">
        <v>295620000</v>
      </c>
      <c r="E58">
        <v>2960940000</v>
      </c>
      <c r="F58">
        <v>3000000</v>
      </c>
      <c r="G58">
        <v>3639</v>
      </c>
      <c r="H58">
        <v>6.3899999999999998E-2</v>
      </c>
      <c r="I58" t="b">
        <v>1</v>
      </c>
      <c r="J58">
        <v>2015</v>
      </c>
      <c r="K58" t="s">
        <v>38</v>
      </c>
      <c r="L58" t="s">
        <v>20</v>
      </c>
      <c r="M58">
        <v>10.02</v>
      </c>
      <c r="N58">
        <v>824</v>
      </c>
      <c r="O58">
        <v>10</v>
      </c>
    </row>
    <row r="59" spans="1:15" x14ac:dyDescent="0.25">
      <c r="A59" t="s">
        <v>174</v>
      </c>
      <c r="B59" t="s">
        <v>14</v>
      </c>
      <c r="C59">
        <v>3</v>
      </c>
      <c r="D59">
        <v>27020000</v>
      </c>
      <c r="E59">
        <v>137730000</v>
      </c>
      <c r="F59">
        <v>86210000</v>
      </c>
      <c r="G59">
        <v>1314</v>
      </c>
      <c r="H59">
        <v>2.5999999999999999E-3</v>
      </c>
      <c r="I59" t="b">
        <v>0</v>
      </c>
      <c r="J59">
        <v>1996</v>
      </c>
      <c r="K59" t="s">
        <v>25</v>
      </c>
      <c r="L59" t="s">
        <v>12</v>
      </c>
      <c r="M59">
        <v>5.0999999999999996</v>
      </c>
      <c r="N59">
        <v>65609</v>
      </c>
      <c r="O59">
        <v>29</v>
      </c>
    </row>
    <row r="60" spans="1:15" x14ac:dyDescent="0.25">
      <c r="A60" t="s">
        <v>175</v>
      </c>
      <c r="B60" t="s">
        <v>10</v>
      </c>
      <c r="C60">
        <v>5</v>
      </c>
      <c r="D60">
        <v>11760000</v>
      </c>
      <c r="E60">
        <v>86190000</v>
      </c>
      <c r="F60">
        <v>46070000</v>
      </c>
      <c r="G60">
        <v>4157</v>
      </c>
      <c r="H60">
        <v>7.8399999999999997E-2</v>
      </c>
      <c r="I60" t="b">
        <v>1</v>
      </c>
      <c r="J60">
        <v>2001</v>
      </c>
      <c r="K60" t="s">
        <v>29</v>
      </c>
      <c r="L60" t="s">
        <v>20</v>
      </c>
      <c r="M60">
        <v>7.33</v>
      </c>
      <c r="N60">
        <v>11083</v>
      </c>
      <c r="O60">
        <v>24</v>
      </c>
    </row>
    <row r="61" spans="1:15" x14ac:dyDescent="0.25">
      <c r="A61" t="s">
        <v>176</v>
      </c>
      <c r="B61" t="s">
        <v>18</v>
      </c>
      <c r="C61">
        <v>1</v>
      </c>
      <c r="D61">
        <v>144190000</v>
      </c>
      <c r="E61">
        <v>2000020000</v>
      </c>
      <c r="F61">
        <v>74950000</v>
      </c>
      <c r="G61">
        <v>3239</v>
      </c>
      <c r="H61">
        <v>1.3299999999999999E-2</v>
      </c>
      <c r="I61" t="b">
        <v>1</v>
      </c>
      <c r="J61">
        <v>2002</v>
      </c>
      <c r="K61" t="s">
        <v>15</v>
      </c>
      <c r="L61" t="s">
        <v>12</v>
      </c>
      <c r="M61">
        <v>13.87</v>
      </c>
      <c r="N61">
        <v>23140</v>
      </c>
      <c r="O61">
        <v>23</v>
      </c>
    </row>
    <row r="62" spans="1:15" x14ac:dyDescent="0.25">
      <c r="A62" t="s">
        <v>177</v>
      </c>
      <c r="B62" t="s">
        <v>10</v>
      </c>
      <c r="C62">
        <v>2</v>
      </c>
      <c r="D62">
        <v>174440000</v>
      </c>
      <c r="E62">
        <v>2135030000</v>
      </c>
      <c r="F62">
        <v>29130000</v>
      </c>
      <c r="G62">
        <v>4119</v>
      </c>
      <c r="H62">
        <v>0.08</v>
      </c>
      <c r="I62" t="b">
        <v>1</v>
      </c>
      <c r="J62">
        <v>2006</v>
      </c>
      <c r="K62" t="s">
        <v>11</v>
      </c>
      <c r="L62" t="s">
        <v>12</v>
      </c>
      <c r="M62">
        <v>12.24</v>
      </c>
      <c r="N62">
        <v>7072</v>
      </c>
      <c r="O62">
        <v>19</v>
      </c>
    </row>
    <row r="63" spans="1:15" x14ac:dyDescent="0.25">
      <c r="A63" t="s">
        <v>178</v>
      </c>
      <c r="B63" t="s">
        <v>14</v>
      </c>
      <c r="C63">
        <v>4</v>
      </c>
      <c r="D63">
        <v>81870000</v>
      </c>
      <c r="E63">
        <v>792470000</v>
      </c>
      <c r="F63">
        <v>78720000</v>
      </c>
      <c r="G63">
        <v>2316</v>
      </c>
      <c r="H63">
        <v>6.2E-2</v>
      </c>
      <c r="I63" t="b">
        <v>1</v>
      </c>
      <c r="J63">
        <v>2006</v>
      </c>
      <c r="K63" t="s">
        <v>11</v>
      </c>
      <c r="L63" t="s">
        <v>12</v>
      </c>
      <c r="M63">
        <v>9.68</v>
      </c>
      <c r="N63">
        <v>33990</v>
      </c>
      <c r="O63">
        <v>19</v>
      </c>
    </row>
    <row r="64" spans="1:15" x14ac:dyDescent="0.25">
      <c r="A64" t="s">
        <v>179</v>
      </c>
      <c r="B64" t="s">
        <v>36</v>
      </c>
      <c r="C64">
        <v>1</v>
      </c>
      <c r="D64">
        <v>119790000</v>
      </c>
      <c r="E64">
        <v>726850000</v>
      </c>
      <c r="F64">
        <v>11280000</v>
      </c>
      <c r="G64">
        <v>2846</v>
      </c>
      <c r="H64">
        <v>8.4500000000000006E-2</v>
      </c>
      <c r="I64" t="b">
        <v>1</v>
      </c>
      <c r="J64">
        <v>2010</v>
      </c>
      <c r="K64" t="s">
        <v>11</v>
      </c>
      <c r="L64" t="s">
        <v>20</v>
      </c>
      <c r="M64">
        <v>6.07</v>
      </c>
      <c r="N64">
        <v>3963</v>
      </c>
      <c r="O64">
        <v>15</v>
      </c>
    </row>
    <row r="65" spans="1:15" x14ac:dyDescent="0.25">
      <c r="A65" t="s">
        <v>180</v>
      </c>
      <c r="B65" t="s">
        <v>14</v>
      </c>
      <c r="C65">
        <v>1</v>
      </c>
      <c r="D65">
        <v>27960000</v>
      </c>
      <c r="E65">
        <v>185230000</v>
      </c>
      <c r="F65">
        <v>35660000</v>
      </c>
      <c r="G65">
        <v>4213</v>
      </c>
      <c r="H65">
        <v>1.0699999999999999E-2</v>
      </c>
      <c r="I65" t="b">
        <v>0</v>
      </c>
      <c r="J65">
        <v>1997</v>
      </c>
      <c r="K65" t="s">
        <v>11</v>
      </c>
      <c r="L65" t="s">
        <v>20</v>
      </c>
      <c r="M65">
        <v>6.62</v>
      </c>
      <c r="N65">
        <v>8464</v>
      </c>
      <c r="O65">
        <v>28</v>
      </c>
    </row>
    <row r="66" spans="1:15" x14ac:dyDescent="0.25">
      <c r="A66" t="s">
        <v>181</v>
      </c>
      <c r="B66" t="s">
        <v>10</v>
      </c>
      <c r="C66">
        <v>3</v>
      </c>
      <c r="D66">
        <v>101240000</v>
      </c>
      <c r="E66">
        <v>1192960000</v>
      </c>
      <c r="F66">
        <v>97810000</v>
      </c>
      <c r="G66">
        <v>3564</v>
      </c>
      <c r="H66">
        <v>5.6300000000000003E-2</v>
      </c>
      <c r="I66" t="b">
        <v>1</v>
      </c>
      <c r="J66">
        <v>1994</v>
      </c>
      <c r="K66" t="s">
        <v>25</v>
      </c>
      <c r="L66" t="s">
        <v>23</v>
      </c>
      <c r="M66">
        <v>11.78</v>
      </c>
      <c r="N66">
        <v>27444</v>
      </c>
      <c r="O66">
        <v>31</v>
      </c>
    </row>
    <row r="67" spans="1:15" x14ac:dyDescent="0.25">
      <c r="A67" t="s">
        <v>182</v>
      </c>
      <c r="B67" t="s">
        <v>27</v>
      </c>
      <c r="C67">
        <v>5</v>
      </c>
      <c r="D67">
        <v>156990000</v>
      </c>
      <c r="E67">
        <v>2074480000</v>
      </c>
      <c r="F67">
        <v>79420000</v>
      </c>
      <c r="G67">
        <v>3403</v>
      </c>
      <c r="H67">
        <v>5.0599999999999999E-2</v>
      </c>
      <c r="I67" t="b">
        <v>1</v>
      </c>
      <c r="J67">
        <v>2015</v>
      </c>
      <c r="K67" t="s">
        <v>11</v>
      </c>
      <c r="L67" t="s">
        <v>23</v>
      </c>
      <c r="M67">
        <v>13.21</v>
      </c>
      <c r="N67">
        <v>23338</v>
      </c>
      <c r="O67">
        <v>10</v>
      </c>
    </row>
    <row r="68" spans="1:15" x14ac:dyDescent="0.25">
      <c r="A68" t="s">
        <v>183</v>
      </c>
      <c r="B68" t="s">
        <v>72</v>
      </c>
      <c r="C68">
        <v>4</v>
      </c>
      <c r="D68">
        <v>219820000</v>
      </c>
      <c r="E68">
        <v>2430570000</v>
      </c>
      <c r="F68">
        <v>49780000</v>
      </c>
      <c r="G68">
        <v>546</v>
      </c>
      <c r="H68">
        <v>7.0900000000000005E-2</v>
      </c>
      <c r="I68" t="b">
        <v>0</v>
      </c>
      <c r="J68">
        <v>2005</v>
      </c>
      <c r="K68" t="s">
        <v>15</v>
      </c>
      <c r="L68" t="s">
        <v>12</v>
      </c>
      <c r="M68">
        <v>11.06</v>
      </c>
      <c r="N68">
        <v>91172</v>
      </c>
      <c r="O68">
        <v>20</v>
      </c>
    </row>
    <row r="69" spans="1:15" x14ac:dyDescent="0.25">
      <c r="A69" t="s">
        <v>39</v>
      </c>
      <c r="B69" t="s">
        <v>27</v>
      </c>
      <c r="C69">
        <v>2</v>
      </c>
      <c r="D69">
        <v>141580000</v>
      </c>
      <c r="E69">
        <v>1593980000</v>
      </c>
      <c r="F69">
        <v>16770000</v>
      </c>
      <c r="G69">
        <v>1846</v>
      </c>
      <c r="H69">
        <v>0.01</v>
      </c>
      <c r="I69" t="b">
        <v>1</v>
      </c>
      <c r="J69">
        <v>1994</v>
      </c>
      <c r="K69" t="s">
        <v>25</v>
      </c>
      <c r="L69" t="s">
        <v>12</v>
      </c>
      <c r="M69">
        <v>11.26</v>
      </c>
      <c r="N69">
        <v>9085</v>
      </c>
      <c r="O69">
        <v>31</v>
      </c>
    </row>
    <row r="70" spans="1:15" x14ac:dyDescent="0.25">
      <c r="A70" t="s">
        <v>184</v>
      </c>
      <c r="B70" t="s">
        <v>31</v>
      </c>
      <c r="C70">
        <v>2</v>
      </c>
      <c r="D70">
        <v>1500000</v>
      </c>
      <c r="E70">
        <v>19070000</v>
      </c>
      <c r="F70">
        <v>34040000</v>
      </c>
      <c r="G70">
        <v>2699</v>
      </c>
      <c r="H70">
        <v>5.3900000000000003E-2</v>
      </c>
      <c r="I70" t="b">
        <v>1</v>
      </c>
      <c r="J70">
        <v>2017</v>
      </c>
      <c r="K70" t="s">
        <v>25</v>
      </c>
      <c r="L70" t="s">
        <v>12</v>
      </c>
      <c r="M70">
        <v>12.71</v>
      </c>
      <c r="N70">
        <v>12612</v>
      </c>
      <c r="O70">
        <v>8</v>
      </c>
    </row>
    <row r="71" spans="1:15" x14ac:dyDescent="0.25">
      <c r="A71" t="s">
        <v>185</v>
      </c>
      <c r="B71" t="s">
        <v>18</v>
      </c>
      <c r="C71">
        <v>4</v>
      </c>
      <c r="D71">
        <v>140460000</v>
      </c>
      <c r="E71">
        <v>1713590000</v>
      </c>
      <c r="F71">
        <v>87230000</v>
      </c>
      <c r="G71">
        <v>4679</v>
      </c>
      <c r="H71">
        <v>5.45E-2</v>
      </c>
      <c r="I71" t="b">
        <v>0</v>
      </c>
      <c r="J71">
        <v>2018</v>
      </c>
      <c r="K71" t="s">
        <v>11</v>
      </c>
      <c r="L71" t="s">
        <v>12</v>
      </c>
      <c r="M71">
        <v>12.2</v>
      </c>
      <c r="N71">
        <v>18643</v>
      </c>
      <c r="O71">
        <v>7</v>
      </c>
    </row>
    <row r="72" spans="1:15" x14ac:dyDescent="0.25">
      <c r="A72" t="s">
        <v>186</v>
      </c>
      <c r="B72" t="s">
        <v>27</v>
      </c>
      <c r="C72">
        <v>2</v>
      </c>
      <c r="D72">
        <v>89450000</v>
      </c>
      <c r="E72">
        <v>429040000</v>
      </c>
      <c r="F72">
        <v>54530000</v>
      </c>
      <c r="G72">
        <v>1093</v>
      </c>
      <c r="H72">
        <v>4.3499999999999997E-2</v>
      </c>
      <c r="I72" t="b">
        <v>0</v>
      </c>
      <c r="J72">
        <v>2001</v>
      </c>
      <c r="K72" t="s">
        <v>29</v>
      </c>
      <c r="L72" t="s">
        <v>12</v>
      </c>
      <c r="M72">
        <v>4.8</v>
      </c>
      <c r="N72">
        <v>49890</v>
      </c>
      <c r="O72">
        <v>24</v>
      </c>
    </row>
    <row r="73" spans="1:15" x14ac:dyDescent="0.25">
      <c r="A73" t="s">
        <v>187</v>
      </c>
      <c r="B73" t="s">
        <v>14</v>
      </c>
      <c r="C73">
        <v>5</v>
      </c>
      <c r="D73">
        <v>255920000</v>
      </c>
      <c r="E73">
        <v>2069710000</v>
      </c>
      <c r="F73">
        <v>75870000</v>
      </c>
      <c r="G73">
        <v>3368</v>
      </c>
      <c r="H73">
        <v>3.1600000000000003E-2</v>
      </c>
      <c r="I73" t="b">
        <v>1</v>
      </c>
      <c r="J73">
        <v>2019</v>
      </c>
      <c r="K73" t="s">
        <v>38</v>
      </c>
      <c r="L73" t="s">
        <v>12</v>
      </c>
      <c r="M73">
        <v>8.09</v>
      </c>
      <c r="N73">
        <v>22527</v>
      </c>
      <c r="O73">
        <v>6</v>
      </c>
    </row>
    <row r="74" spans="1:15" x14ac:dyDescent="0.25">
      <c r="A74" t="s">
        <v>188</v>
      </c>
      <c r="B74" t="s">
        <v>36</v>
      </c>
      <c r="C74">
        <v>2</v>
      </c>
      <c r="D74">
        <v>214810000</v>
      </c>
      <c r="E74">
        <v>1038780000</v>
      </c>
      <c r="F74">
        <v>75440000</v>
      </c>
      <c r="G74">
        <v>29</v>
      </c>
      <c r="H74">
        <v>4.87E-2</v>
      </c>
      <c r="I74" t="b">
        <v>0</v>
      </c>
      <c r="J74">
        <v>2012</v>
      </c>
      <c r="K74" t="s">
        <v>38</v>
      </c>
      <c r="L74" t="s">
        <v>23</v>
      </c>
      <c r="M74">
        <v>4.84</v>
      </c>
      <c r="N74">
        <v>2601379</v>
      </c>
      <c r="O74">
        <v>13</v>
      </c>
    </row>
    <row r="75" spans="1:15" x14ac:dyDescent="0.25">
      <c r="A75" t="s">
        <v>189</v>
      </c>
      <c r="B75" t="s">
        <v>22</v>
      </c>
      <c r="C75">
        <v>3</v>
      </c>
      <c r="D75">
        <v>176940000</v>
      </c>
      <c r="E75">
        <v>1030290000</v>
      </c>
      <c r="F75">
        <v>1890000</v>
      </c>
      <c r="G75">
        <v>1577</v>
      </c>
      <c r="H75">
        <v>1.2699999999999999E-2</v>
      </c>
      <c r="I75" t="b">
        <v>0</v>
      </c>
      <c r="J75">
        <v>2005</v>
      </c>
      <c r="K75" t="s">
        <v>38</v>
      </c>
      <c r="L75" t="s">
        <v>12</v>
      </c>
      <c r="M75">
        <v>5.82</v>
      </c>
      <c r="N75">
        <v>1198</v>
      </c>
      <c r="O75">
        <v>20</v>
      </c>
    </row>
    <row r="76" spans="1:15" x14ac:dyDescent="0.25">
      <c r="A76" t="s">
        <v>190</v>
      </c>
      <c r="B76" t="s">
        <v>14</v>
      </c>
      <c r="C76">
        <v>3</v>
      </c>
      <c r="D76">
        <v>83540000</v>
      </c>
      <c r="E76">
        <v>1122040000</v>
      </c>
      <c r="F76">
        <v>12710000</v>
      </c>
      <c r="G76">
        <v>2963</v>
      </c>
      <c r="H76">
        <v>9.6199999999999994E-2</v>
      </c>
      <c r="I76" t="b">
        <v>1</v>
      </c>
      <c r="J76">
        <v>2003</v>
      </c>
      <c r="K76" t="s">
        <v>25</v>
      </c>
      <c r="L76" t="s">
        <v>12</v>
      </c>
      <c r="M76">
        <v>13.43</v>
      </c>
      <c r="N76">
        <v>4290</v>
      </c>
      <c r="O76">
        <v>22</v>
      </c>
    </row>
    <row r="77" spans="1:15" x14ac:dyDescent="0.25">
      <c r="A77" t="s">
        <v>191</v>
      </c>
      <c r="B77" t="s">
        <v>36</v>
      </c>
      <c r="C77">
        <v>3</v>
      </c>
      <c r="D77">
        <v>273150000</v>
      </c>
      <c r="E77">
        <v>2369500000</v>
      </c>
      <c r="F77">
        <v>66000000</v>
      </c>
      <c r="G77">
        <v>4241</v>
      </c>
      <c r="H77">
        <v>7.17E-2</v>
      </c>
      <c r="I77" t="b">
        <v>1</v>
      </c>
      <c r="J77">
        <v>1999</v>
      </c>
      <c r="K77" t="s">
        <v>11</v>
      </c>
      <c r="L77" t="s">
        <v>20</v>
      </c>
      <c r="M77">
        <v>8.67</v>
      </c>
      <c r="N77">
        <v>15562</v>
      </c>
      <c r="O77">
        <v>26</v>
      </c>
    </row>
    <row r="78" spans="1:15" x14ac:dyDescent="0.25">
      <c r="A78" t="s">
        <v>192</v>
      </c>
      <c r="B78" t="s">
        <v>72</v>
      </c>
      <c r="C78">
        <v>3</v>
      </c>
      <c r="D78">
        <v>14010000</v>
      </c>
      <c r="E78">
        <v>132030000</v>
      </c>
      <c r="F78">
        <v>16250000</v>
      </c>
      <c r="G78">
        <v>1772</v>
      </c>
      <c r="H78">
        <v>9.5299999999999996E-2</v>
      </c>
      <c r="I78" t="b">
        <v>0</v>
      </c>
      <c r="J78">
        <v>1996</v>
      </c>
      <c r="K78" t="s">
        <v>25</v>
      </c>
      <c r="L78" t="s">
        <v>20</v>
      </c>
      <c r="M78">
        <v>9.42</v>
      </c>
      <c r="N78">
        <v>9170</v>
      </c>
      <c r="O78">
        <v>29</v>
      </c>
    </row>
    <row r="79" spans="1:15" x14ac:dyDescent="0.25">
      <c r="A79" t="s">
        <v>193</v>
      </c>
      <c r="B79" t="s">
        <v>14</v>
      </c>
      <c r="C79">
        <v>4</v>
      </c>
      <c r="D79">
        <v>33290000</v>
      </c>
      <c r="E79">
        <v>171160000</v>
      </c>
      <c r="F79">
        <v>25620000</v>
      </c>
      <c r="G79">
        <v>4748</v>
      </c>
      <c r="H79">
        <v>2.3400000000000001E-2</v>
      </c>
      <c r="I79" t="b">
        <v>1</v>
      </c>
      <c r="J79">
        <v>2018</v>
      </c>
      <c r="K79" t="s">
        <v>15</v>
      </c>
      <c r="L79" t="s">
        <v>12</v>
      </c>
      <c r="M79">
        <v>5.14</v>
      </c>
      <c r="N79">
        <v>5396</v>
      </c>
      <c r="O79">
        <v>7</v>
      </c>
    </row>
    <row r="80" spans="1:15" x14ac:dyDescent="0.25">
      <c r="A80" t="s">
        <v>40</v>
      </c>
      <c r="B80" t="s">
        <v>18</v>
      </c>
      <c r="C80">
        <v>2</v>
      </c>
      <c r="D80">
        <v>55040000</v>
      </c>
      <c r="E80">
        <v>427580000</v>
      </c>
      <c r="F80">
        <v>18210000</v>
      </c>
      <c r="G80">
        <v>2314</v>
      </c>
      <c r="H80">
        <v>4.1999999999999997E-3</v>
      </c>
      <c r="I80" t="b">
        <v>0</v>
      </c>
      <c r="J80">
        <v>2015</v>
      </c>
      <c r="K80" t="s">
        <v>11</v>
      </c>
      <c r="L80" t="s">
        <v>12</v>
      </c>
      <c r="M80">
        <v>7.77</v>
      </c>
      <c r="N80">
        <v>7869</v>
      </c>
      <c r="O80">
        <v>10</v>
      </c>
    </row>
    <row r="81" spans="1:15" x14ac:dyDescent="0.25">
      <c r="A81" t="s">
        <v>194</v>
      </c>
      <c r="B81" t="s">
        <v>10</v>
      </c>
      <c r="C81">
        <v>5</v>
      </c>
      <c r="D81">
        <v>117790000</v>
      </c>
      <c r="E81">
        <v>794760000</v>
      </c>
      <c r="F81">
        <v>94670000</v>
      </c>
      <c r="G81">
        <v>2240</v>
      </c>
      <c r="H81">
        <v>8.8099999999999998E-2</v>
      </c>
      <c r="I81" t="b">
        <v>0</v>
      </c>
      <c r="J81">
        <v>1992</v>
      </c>
      <c r="K81" t="s">
        <v>29</v>
      </c>
      <c r="L81" t="s">
        <v>12</v>
      </c>
      <c r="M81">
        <v>6.75</v>
      </c>
      <c r="N81">
        <v>42263</v>
      </c>
      <c r="O81">
        <v>33</v>
      </c>
    </row>
    <row r="82" spans="1:15" x14ac:dyDescent="0.25">
      <c r="A82" t="s">
        <v>195</v>
      </c>
      <c r="B82" t="s">
        <v>22</v>
      </c>
      <c r="C82">
        <v>2</v>
      </c>
      <c r="D82">
        <v>37770000</v>
      </c>
      <c r="E82">
        <v>217670000</v>
      </c>
      <c r="F82">
        <v>56060000</v>
      </c>
      <c r="G82">
        <v>205</v>
      </c>
      <c r="H82">
        <v>8.1100000000000005E-2</v>
      </c>
      <c r="I82" t="b">
        <v>0</v>
      </c>
      <c r="J82">
        <v>2004</v>
      </c>
      <c r="K82" t="s">
        <v>29</v>
      </c>
      <c r="L82" t="s">
        <v>12</v>
      </c>
      <c r="M82">
        <v>5.76</v>
      </c>
      <c r="N82">
        <v>273463</v>
      </c>
      <c r="O82">
        <v>21</v>
      </c>
    </row>
    <row r="83" spans="1:15" x14ac:dyDescent="0.25">
      <c r="A83" t="s">
        <v>196</v>
      </c>
      <c r="B83" t="s">
        <v>36</v>
      </c>
      <c r="C83">
        <v>2</v>
      </c>
      <c r="D83">
        <v>286950000</v>
      </c>
      <c r="E83">
        <v>1570830000</v>
      </c>
      <c r="F83">
        <v>75100000</v>
      </c>
      <c r="G83">
        <v>3203</v>
      </c>
      <c r="H83">
        <v>6.8000000000000005E-2</v>
      </c>
      <c r="I83" t="b">
        <v>1</v>
      </c>
      <c r="J83">
        <v>2008</v>
      </c>
      <c r="K83" t="s">
        <v>38</v>
      </c>
      <c r="L83" t="s">
        <v>20</v>
      </c>
      <c r="M83">
        <v>5.47</v>
      </c>
      <c r="N83">
        <v>23447</v>
      </c>
      <c r="O83">
        <v>17</v>
      </c>
    </row>
    <row r="84" spans="1:15" x14ac:dyDescent="0.25">
      <c r="A84" t="s">
        <v>197</v>
      </c>
      <c r="B84" t="s">
        <v>36</v>
      </c>
      <c r="C84">
        <v>3</v>
      </c>
      <c r="D84">
        <v>239500000</v>
      </c>
      <c r="E84">
        <v>2552000000</v>
      </c>
      <c r="F84">
        <v>55840000</v>
      </c>
      <c r="G84">
        <v>261</v>
      </c>
      <c r="H84">
        <v>6.2899999999999998E-2</v>
      </c>
      <c r="I84" t="b">
        <v>1</v>
      </c>
      <c r="J84">
        <v>2002</v>
      </c>
      <c r="K84" t="s">
        <v>38</v>
      </c>
      <c r="L84" t="s">
        <v>12</v>
      </c>
      <c r="M84">
        <v>10.66</v>
      </c>
      <c r="N84">
        <v>213946</v>
      </c>
      <c r="O84">
        <v>23</v>
      </c>
    </row>
    <row r="85" spans="1:15" x14ac:dyDescent="0.25">
      <c r="A85" t="s">
        <v>198</v>
      </c>
      <c r="B85" t="s">
        <v>36</v>
      </c>
      <c r="C85">
        <v>3</v>
      </c>
      <c r="D85">
        <v>78070000</v>
      </c>
      <c r="E85">
        <v>474870000</v>
      </c>
      <c r="F85">
        <v>55300000</v>
      </c>
      <c r="G85">
        <v>3752</v>
      </c>
      <c r="H85">
        <v>3.2300000000000002E-2</v>
      </c>
      <c r="I85" t="b">
        <v>0</v>
      </c>
      <c r="J85">
        <v>2010</v>
      </c>
      <c r="K85" t="s">
        <v>38</v>
      </c>
      <c r="L85" t="s">
        <v>12</v>
      </c>
      <c r="M85">
        <v>6.08</v>
      </c>
      <c r="N85">
        <v>14739</v>
      </c>
      <c r="O85">
        <v>15</v>
      </c>
    </row>
    <row r="86" spans="1:15" x14ac:dyDescent="0.25">
      <c r="A86" t="s">
        <v>199</v>
      </c>
      <c r="B86" t="s">
        <v>72</v>
      </c>
      <c r="C86">
        <v>1</v>
      </c>
      <c r="D86">
        <v>176770000</v>
      </c>
      <c r="E86">
        <v>1870970000</v>
      </c>
      <c r="F86">
        <v>9510000</v>
      </c>
      <c r="G86">
        <v>4647</v>
      </c>
      <c r="H86">
        <v>8.1799999999999998E-2</v>
      </c>
      <c r="I86" t="b">
        <v>1</v>
      </c>
      <c r="J86">
        <v>2016</v>
      </c>
      <c r="K86" t="s">
        <v>11</v>
      </c>
      <c r="L86" t="s">
        <v>20</v>
      </c>
      <c r="M86">
        <v>10.58</v>
      </c>
      <c r="N86">
        <v>2046</v>
      </c>
      <c r="O86">
        <v>9</v>
      </c>
    </row>
    <row r="87" spans="1:15" x14ac:dyDescent="0.25">
      <c r="A87" t="s">
        <v>200</v>
      </c>
      <c r="B87" t="s">
        <v>14</v>
      </c>
      <c r="C87">
        <v>5</v>
      </c>
      <c r="D87">
        <v>294710000</v>
      </c>
      <c r="E87">
        <v>1090860000</v>
      </c>
      <c r="F87">
        <v>34430000</v>
      </c>
      <c r="G87">
        <v>2246</v>
      </c>
      <c r="H87">
        <v>5.0700000000000002E-2</v>
      </c>
      <c r="I87" t="b">
        <v>1</v>
      </c>
      <c r="J87">
        <v>2018</v>
      </c>
      <c r="K87" t="s">
        <v>15</v>
      </c>
      <c r="L87" t="s">
        <v>12</v>
      </c>
      <c r="M87">
        <v>3.7</v>
      </c>
      <c r="N87">
        <v>15329</v>
      </c>
      <c r="O87">
        <v>7</v>
      </c>
    </row>
    <row r="88" spans="1:15" x14ac:dyDescent="0.25">
      <c r="A88" t="s">
        <v>201</v>
      </c>
      <c r="B88" t="s">
        <v>72</v>
      </c>
      <c r="C88">
        <v>4</v>
      </c>
      <c r="D88">
        <v>265320000</v>
      </c>
      <c r="E88">
        <v>1247350000</v>
      </c>
      <c r="F88">
        <v>28310000</v>
      </c>
      <c r="G88">
        <v>3180</v>
      </c>
      <c r="H88">
        <v>8.0000000000000002E-3</v>
      </c>
      <c r="I88" t="b">
        <v>0</v>
      </c>
      <c r="J88">
        <v>2009</v>
      </c>
      <c r="K88" t="s">
        <v>15</v>
      </c>
      <c r="L88" t="s">
        <v>23</v>
      </c>
      <c r="M88">
        <v>4.7</v>
      </c>
      <c r="N88">
        <v>8903</v>
      </c>
      <c r="O88">
        <v>16</v>
      </c>
    </row>
    <row r="89" spans="1:15" x14ac:dyDescent="0.25">
      <c r="A89" t="s">
        <v>202</v>
      </c>
      <c r="B89" t="s">
        <v>18</v>
      </c>
      <c r="C89">
        <v>2</v>
      </c>
      <c r="D89">
        <v>180440000</v>
      </c>
      <c r="E89">
        <v>1135780000</v>
      </c>
      <c r="F89">
        <v>39130000</v>
      </c>
      <c r="G89">
        <v>3611</v>
      </c>
      <c r="H89">
        <v>3.2000000000000001E-2</v>
      </c>
      <c r="I89" t="b">
        <v>0</v>
      </c>
      <c r="J89">
        <v>2014</v>
      </c>
      <c r="K89" t="s">
        <v>15</v>
      </c>
      <c r="L89" t="s">
        <v>12</v>
      </c>
      <c r="M89">
        <v>6.29</v>
      </c>
      <c r="N89">
        <v>10836</v>
      </c>
      <c r="O89">
        <v>11</v>
      </c>
    </row>
    <row r="90" spans="1:15" x14ac:dyDescent="0.25">
      <c r="A90" t="s">
        <v>203</v>
      </c>
      <c r="B90" t="s">
        <v>31</v>
      </c>
      <c r="C90">
        <v>1</v>
      </c>
      <c r="D90">
        <v>271170000</v>
      </c>
      <c r="E90">
        <v>2756320000</v>
      </c>
      <c r="F90">
        <v>79850000</v>
      </c>
      <c r="G90">
        <v>3341</v>
      </c>
      <c r="H90">
        <v>9.3600000000000003E-2</v>
      </c>
      <c r="I90" t="b">
        <v>0</v>
      </c>
      <c r="J90">
        <v>1995</v>
      </c>
      <c r="K90" t="s">
        <v>15</v>
      </c>
      <c r="L90" t="s">
        <v>20</v>
      </c>
      <c r="M90">
        <v>10.16</v>
      </c>
      <c r="N90">
        <v>23900</v>
      </c>
      <c r="O90">
        <v>30</v>
      </c>
    </row>
    <row r="91" spans="1:15" x14ac:dyDescent="0.25">
      <c r="A91" t="s">
        <v>41</v>
      </c>
      <c r="B91" t="s">
        <v>36</v>
      </c>
      <c r="C91">
        <v>2</v>
      </c>
      <c r="D91">
        <v>145690000</v>
      </c>
      <c r="E91">
        <v>1276060000</v>
      </c>
      <c r="F91">
        <v>38830000</v>
      </c>
      <c r="G91">
        <v>915</v>
      </c>
      <c r="H91">
        <v>6.7000000000000002E-3</v>
      </c>
      <c r="I91" t="b">
        <v>1</v>
      </c>
      <c r="J91">
        <v>2009</v>
      </c>
      <c r="K91" t="s">
        <v>25</v>
      </c>
      <c r="L91" t="s">
        <v>12</v>
      </c>
      <c r="M91">
        <v>8.76</v>
      </c>
      <c r="N91">
        <v>42437</v>
      </c>
      <c r="O91">
        <v>16</v>
      </c>
    </row>
    <row r="92" spans="1:15" x14ac:dyDescent="0.25">
      <c r="A92" t="s">
        <v>204</v>
      </c>
      <c r="B92" t="s">
        <v>31</v>
      </c>
      <c r="C92">
        <v>1</v>
      </c>
      <c r="D92">
        <v>296760000</v>
      </c>
      <c r="E92">
        <v>3297030000</v>
      </c>
      <c r="F92">
        <v>37260000</v>
      </c>
      <c r="G92">
        <v>4902</v>
      </c>
      <c r="H92">
        <v>8.5199999999999998E-2</v>
      </c>
      <c r="I92" t="b">
        <v>1</v>
      </c>
      <c r="J92">
        <v>1991</v>
      </c>
      <c r="K92" t="s">
        <v>38</v>
      </c>
      <c r="L92" t="s">
        <v>20</v>
      </c>
      <c r="M92">
        <v>11.11</v>
      </c>
      <c r="N92">
        <v>7601</v>
      </c>
      <c r="O92">
        <v>34</v>
      </c>
    </row>
    <row r="93" spans="1:15" x14ac:dyDescent="0.25">
      <c r="A93" t="s">
        <v>205</v>
      </c>
      <c r="B93" t="s">
        <v>18</v>
      </c>
      <c r="C93">
        <v>2</v>
      </c>
      <c r="D93">
        <v>223130000</v>
      </c>
      <c r="E93">
        <v>1854790000</v>
      </c>
      <c r="F93">
        <v>45220000</v>
      </c>
      <c r="G93">
        <v>418</v>
      </c>
      <c r="H93">
        <v>9.8199999999999996E-2</v>
      </c>
      <c r="I93" t="b">
        <v>1</v>
      </c>
      <c r="J93">
        <v>2011</v>
      </c>
      <c r="K93" t="s">
        <v>29</v>
      </c>
      <c r="L93" t="s">
        <v>23</v>
      </c>
      <c r="M93">
        <v>8.31</v>
      </c>
      <c r="N93">
        <v>108182</v>
      </c>
      <c r="O93">
        <v>14</v>
      </c>
    </row>
    <row r="94" spans="1:15" x14ac:dyDescent="0.25">
      <c r="A94" t="s">
        <v>206</v>
      </c>
      <c r="B94" t="s">
        <v>14</v>
      </c>
      <c r="C94">
        <v>4</v>
      </c>
      <c r="D94">
        <v>19960000</v>
      </c>
      <c r="E94">
        <v>166660000</v>
      </c>
      <c r="F94">
        <v>39800000</v>
      </c>
      <c r="G94">
        <v>2019</v>
      </c>
      <c r="H94">
        <v>6.3200000000000006E-2</v>
      </c>
      <c r="I94" t="b">
        <v>1</v>
      </c>
      <c r="J94">
        <v>2021</v>
      </c>
      <c r="K94" t="s">
        <v>38</v>
      </c>
      <c r="L94" t="s">
        <v>20</v>
      </c>
      <c r="M94">
        <v>8.35</v>
      </c>
      <c r="N94">
        <v>19713</v>
      </c>
      <c r="O94">
        <v>4</v>
      </c>
    </row>
    <row r="95" spans="1:15" x14ac:dyDescent="0.25">
      <c r="A95" t="s">
        <v>207</v>
      </c>
      <c r="B95" t="s">
        <v>10</v>
      </c>
      <c r="C95">
        <v>1</v>
      </c>
      <c r="D95">
        <v>120770000</v>
      </c>
      <c r="E95">
        <v>1412310000</v>
      </c>
      <c r="F95">
        <v>9430000</v>
      </c>
      <c r="G95">
        <v>1386</v>
      </c>
      <c r="H95">
        <v>2.5499999999999998E-2</v>
      </c>
      <c r="I95" t="b">
        <v>1</v>
      </c>
      <c r="J95">
        <v>2005</v>
      </c>
      <c r="K95" t="s">
        <v>15</v>
      </c>
      <c r="L95" t="s">
        <v>12</v>
      </c>
      <c r="M95">
        <v>11.69</v>
      </c>
      <c r="N95">
        <v>6804</v>
      </c>
      <c r="O95">
        <v>20</v>
      </c>
    </row>
    <row r="96" spans="1:15" x14ac:dyDescent="0.25">
      <c r="A96" t="s">
        <v>208</v>
      </c>
      <c r="B96" t="s">
        <v>72</v>
      </c>
      <c r="C96">
        <v>1</v>
      </c>
      <c r="D96">
        <v>251430000</v>
      </c>
      <c r="E96">
        <v>802020000</v>
      </c>
      <c r="F96">
        <v>44160000</v>
      </c>
      <c r="G96">
        <v>1103</v>
      </c>
      <c r="H96">
        <v>1.7100000000000001E-2</v>
      </c>
      <c r="I96" t="b">
        <v>1</v>
      </c>
      <c r="J96">
        <v>2007</v>
      </c>
      <c r="K96" t="s">
        <v>38</v>
      </c>
      <c r="L96" t="s">
        <v>20</v>
      </c>
      <c r="M96">
        <v>3.19</v>
      </c>
      <c r="N96">
        <v>40036</v>
      </c>
      <c r="O96">
        <v>18</v>
      </c>
    </row>
    <row r="97" spans="1:15" x14ac:dyDescent="0.25">
      <c r="A97" t="s">
        <v>209</v>
      </c>
      <c r="B97" t="s">
        <v>22</v>
      </c>
      <c r="C97">
        <v>5</v>
      </c>
      <c r="D97">
        <v>69560000</v>
      </c>
      <c r="E97">
        <v>493390000</v>
      </c>
      <c r="F97">
        <v>19640000</v>
      </c>
      <c r="G97">
        <v>3431</v>
      </c>
      <c r="H97">
        <v>1.95E-2</v>
      </c>
      <c r="I97" t="b">
        <v>0</v>
      </c>
      <c r="J97">
        <v>1994</v>
      </c>
      <c r="K97" t="s">
        <v>15</v>
      </c>
      <c r="L97" t="s">
        <v>12</v>
      </c>
      <c r="M97">
        <v>7.09</v>
      </c>
      <c r="N97">
        <v>5724</v>
      </c>
      <c r="O97">
        <v>31</v>
      </c>
    </row>
    <row r="98" spans="1:15" x14ac:dyDescent="0.25">
      <c r="A98" t="s">
        <v>210</v>
      </c>
      <c r="B98" t="s">
        <v>36</v>
      </c>
      <c r="C98">
        <v>4</v>
      </c>
      <c r="D98">
        <v>249280000</v>
      </c>
      <c r="E98">
        <v>3196890000</v>
      </c>
      <c r="F98">
        <v>18750000</v>
      </c>
      <c r="G98">
        <v>3660</v>
      </c>
      <c r="H98">
        <v>3.0000000000000001E-3</v>
      </c>
      <c r="I98" t="b">
        <v>0</v>
      </c>
      <c r="J98">
        <v>2019</v>
      </c>
      <c r="K98" t="s">
        <v>25</v>
      </c>
      <c r="L98" t="s">
        <v>20</v>
      </c>
      <c r="M98">
        <v>12.82</v>
      </c>
      <c r="N98">
        <v>5123</v>
      </c>
      <c r="O98">
        <v>6</v>
      </c>
    </row>
    <row r="99" spans="1:15" x14ac:dyDescent="0.25">
      <c r="A99" t="s">
        <v>211</v>
      </c>
      <c r="B99" t="s">
        <v>36</v>
      </c>
      <c r="C99">
        <v>1</v>
      </c>
      <c r="D99">
        <v>36540000</v>
      </c>
      <c r="E99">
        <v>374120000</v>
      </c>
      <c r="F99">
        <v>9490000</v>
      </c>
      <c r="G99">
        <v>914</v>
      </c>
      <c r="H99">
        <v>3.9699999999999999E-2</v>
      </c>
      <c r="I99" t="b">
        <v>0</v>
      </c>
      <c r="J99">
        <v>2008</v>
      </c>
      <c r="K99" t="s">
        <v>29</v>
      </c>
      <c r="L99" t="s">
        <v>12</v>
      </c>
      <c r="M99">
        <v>10.24</v>
      </c>
      <c r="N99">
        <v>10383</v>
      </c>
      <c r="O99">
        <v>17</v>
      </c>
    </row>
    <row r="100" spans="1:15" x14ac:dyDescent="0.25">
      <c r="A100" t="s">
        <v>212</v>
      </c>
      <c r="B100" t="s">
        <v>14</v>
      </c>
      <c r="C100">
        <v>4</v>
      </c>
      <c r="D100">
        <v>14560000</v>
      </c>
      <c r="E100">
        <v>102600000</v>
      </c>
      <c r="F100">
        <v>35730000</v>
      </c>
      <c r="G100">
        <v>192</v>
      </c>
      <c r="H100">
        <v>0.02</v>
      </c>
      <c r="I100" t="b">
        <v>0</v>
      </c>
      <c r="J100">
        <v>2012</v>
      </c>
      <c r="K100" t="s">
        <v>25</v>
      </c>
      <c r="L100" t="s">
        <v>12</v>
      </c>
      <c r="M100">
        <v>7.05</v>
      </c>
      <c r="N100">
        <v>186094</v>
      </c>
      <c r="O100">
        <v>13</v>
      </c>
    </row>
    <row r="101" spans="1:15" x14ac:dyDescent="0.25">
      <c r="A101" t="s">
        <v>213</v>
      </c>
      <c r="B101" t="s">
        <v>10</v>
      </c>
      <c r="C101">
        <v>2</v>
      </c>
      <c r="D101">
        <v>115540000</v>
      </c>
      <c r="E101">
        <v>1602110000</v>
      </c>
      <c r="F101">
        <v>75770000</v>
      </c>
      <c r="G101">
        <v>4049</v>
      </c>
      <c r="H101">
        <v>4.1799999999999997E-2</v>
      </c>
      <c r="I101" t="b">
        <v>1</v>
      </c>
      <c r="J101">
        <v>2002</v>
      </c>
      <c r="K101" t="s">
        <v>11</v>
      </c>
      <c r="L101" t="s">
        <v>20</v>
      </c>
      <c r="M101">
        <v>13.87</v>
      </c>
      <c r="N101">
        <v>18713</v>
      </c>
      <c r="O101">
        <v>23</v>
      </c>
    </row>
    <row r="102" spans="1:15" x14ac:dyDescent="0.25">
      <c r="A102" t="s">
        <v>42</v>
      </c>
      <c r="B102" t="s">
        <v>18</v>
      </c>
      <c r="C102">
        <v>3</v>
      </c>
      <c r="D102">
        <v>153980000</v>
      </c>
      <c r="E102">
        <v>1729440000</v>
      </c>
      <c r="F102">
        <v>40290000</v>
      </c>
      <c r="G102">
        <v>4345</v>
      </c>
      <c r="H102">
        <v>4.4999999999999998E-2</v>
      </c>
      <c r="I102" t="b">
        <v>0</v>
      </c>
      <c r="J102">
        <v>1995</v>
      </c>
      <c r="K102" t="s">
        <v>29</v>
      </c>
      <c r="L102" t="s">
        <v>20</v>
      </c>
      <c r="M102">
        <v>11.23</v>
      </c>
      <c r="N102">
        <v>9273</v>
      </c>
      <c r="O102">
        <v>30</v>
      </c>
    </row>
    <row r="103" spans="1:15" x14ac:dyDescent="0.25">
      <c r="A103" t="s">
        <v>214</v>
      </c>
      <c r="B103" t="s">
        <v>31</v>
      </c>
      <c r="C103">
        <v>3</v>
      </c>
      <c r="D103">
        <v>11500000</v>
      </c>
      <c r="E103">
        <v>141120000</v>
      </c>
      <c r="F103">
        <v>27720000</v>
      </c>
      <c r="G103">
        <v>3761</v>
      </c>
      <c r="H103">
        <v>9.3600000000000003E-2</v>
      </c>
      <c r="I103" t="b">
        <v>1</v>
      </c>
      <c r="J103">
        <v>2018</v>
      </c>
      <c r="K103" t="s">
        <v>38</v>
      </c>
      <c r="L103" t="s">
        <v>12</v>
      </c>
      <c r="M103">
        <v>12.27</v>
      </c>
      <c r="N103">
        <v>7370</v>
      </c>
      <c r="O103">
        <v>7</v>
      </c>
    </row>
    <row r="104" spans="1:15" x14ac:dyDescent="0.25">
      <c r="A104" t="s">
        <v>215</v>
      </c>
      <c r="B104" t="s">
        <v>31</v>
      </c>
      <c r="C104">
        <v>1</v>
      </c>
      <c r="D104">
        <v>287200000</v>
      </c>
      <c r="E104">
        <v>1774540000</v>
      </c>
      <c r="F104">
        <v>31300000</v>
      </c>
      <c r="G104">
        <v>2020</v>
      </c>
      <c r="H104">
        <v>4.36E-2</v>
      </c>
      <c r="I104" t="b">
        <v>0</v>
      </c>
      <c r="J104">
        <v>2011</v>
      </c>
      <c r="K104" t="s">
        <v>11</v>
      </c>
      <c r="L104" t="s">
        <v>23</v>
      </c>
      <c r="M104">
        <v>6.18</v>
      </c>
      <c r="N104">
        <v>15495</v>
      </c>
      <c r="O104">
        <v>14</v>
      </c>
    </row>
    <row r="105" spans="1:15" x14ac:dyDescent="0.25">
      <c r="A105" t="s">
        <v>216</v>
      </c>
      <c r="B105" t="s">
        <v>36</v>
      </c>
      <c r="C105">
        <v>5</v>
      </c>
      <c r="D105">
        <v>247950000</v>
      </c>
      <c r="E105">
        <v>2663850000</v>
      </c>
      <c r="F105">
        <v>64300000</v>
      </c>
      <c r="G105">
        <v>2097</v>
      </c>
      <c r="H105">
        <v>8.7900000000000006E-2</v>
      </c>
      <c r="I105" t="b">
        <v>0</v>
      </c>
      <c r="J105">
        <v>1998</v>
      </c>
      <c r="K105" t="s">
        <v>38</v>
      </c>
      <c r="L105" t="s">
        <v>12</v>
      </c>
      <c r="M105">
        <v>10.74</v>
      </c>
      <c r="N105">
        <v>30663</v>
      </c>
      <c r="O105">
        <v>27</v>
      </c>
    </row>
    <row r="106" spans="1:15" x14ac:dyDescent="0.25">
      <c r="A106" t="s">
        <v>217</v>
      </c>
      <c r="B106" t="s">
        <v>14</v>
      </c>
      <c r="C106">
        <v>2</v>
      </c>
      <c r="D106">
        <v>240330000</v>
      </c>
      <c r="E106">
        <v>2439110000</v>
      </c>
      <c r="F106">
        <v>19660000</v>
      </c>
      <c r="G106">
        <v>3649</v>
      </c>
      <c r="H106">
        <v>6.0900000000000003E-2</v>
      </c>
      <c r="I106" t="b">
        <v>1</v>
      </c>
      <c r="J106">
        <v>2008</v>
      </c>
      <c r="K106" t="s">
        <v>25</v>
      </c>
      <c r="L106" t="s">
        <v>12</v>
      </c>
      <c r="M106">
        <v>10.15</v>
      </c>
      <c r="N106">
        <v>5388</v>
      </c>
      <c r="O106">
        <v>17</v>
      </c>
    </row>
    <row r="107" spans="1:15" x14ac:dyDescent="0.25">
      <c r="A107" t="s">
        <v>218</v>
      </c>
      <c r="B107" t="s">
        <v>72</v>
      </c>
      <c r="C107">
        <v>4</v>
      </c>
      <c r="D107">
        <v>189120000</v>
      </c>
      <c r="E107">
        <v>1477830000</v>
      </c>
      <c r="F107">
        <v>89710000</v>
      </c>
      <c r="G107">
        <v>2135</v>
      </c>
      <c r="H107">
        <v>2.5499999999999998E-2</v>
      </c>
      <c r="I107" t="b">
        <v>0</v>
      </c>
      <c r="J107">
        <v>1995</v>
      </c>
      <c r="K107" t="s">
        <v>15</v>
      </c>
      <c r="L107" t="s">
        <v>12</v>
      </c>
      <c r="M107">
        <v>7.81</v>
      </c>
      <c r="N107">
        <v>42019</v>
      </c>
      <c r="O107">
        <v>30</v>
      </c>
    </row>
    <row r="108" spans="1:15" x14ac:dyDescent="0.25">
      <c r="A108" t="s">
        <v>219</v>
      </c>
      <c r="B108" t="s">
        <v>31</v>
      </c>
      <c r="C108">
        <v>2</v>
      </c>
      <c r="D108">
        <v>65290000</v>
      </c>
      <c r="E108">
        <v>483370000</v>
      </c>
      <c r="F108">
        <v>52070000</v>
      </c>
      <c r="G108">
        <v>362</v>
      </c>
      <c r="H108">
        <v>3.6200000000000003E-2</v>
      </c>
      <c r="I108" t="b">
        <v>0</v>
      </c>
      <c r="J108">
        <v>2004</v>
      </c>
      <c r="K108" t="s">
        <v>15</v>
      </c>
      <c r="L108" t="s">
        <v>12</v>
      </c>
      <c r="M108">
        <v>7.4</v>
      </c>
      <c r="N108">
        <v>143840</v>
      </c>
      <c r="O108">
        <v>21</v>
      </c>
    </row>
    <row r="109" spans="1:15" x14ac:dyDescent="0.25">
      <c r="A109" t="s">
        <v>220</v>
      </c>
      <c r="B109" t="s">
        <v>72</v>
      </c>
      <c r="C109">
        <v>1</v>
      </c>
      <c r="D109">
        <v>155720000</v>
      </c>
      <c r="E109">
        <v>1109150000</v>
      </c>
      <c r="F109">
        <v>44820000</v>
      </c>
      <c r="G109">
        <v>2427</v>
      </c>
      <c r="H109">
        <v>9.2999999999999992E-3</v>
      </c>
      <c r="I109" t="b">
        <v>0</v>
      </c>
      <c r="J109">
        <v>2009</v>
      </c>
      <c r="K109" t="s">
        <v>38</v>
      </c>
      <c r="L109" t="s">
        <v>12</v>
      </c>
      <c r="M109">
        <v>7.12</v>
      </c>
      <c r="N109">
        <v>18467</v>
      </c>
      <c r="O109">
        <v>16</v>
      </c>
    </row>
    <row r="110" spans="1:15" x14ac:dyDescent="0.25">
      <c r="A110" t="s">
        <v>221</v>
      </c>
      <c r="B110" t="s">
        <v>10</v>
      </c>
      <c r="C110">
        <v>4</v>
      </c>
      <c r="D110">
        <v>179380000</v>
      </c>
      <c r="E110">
        <v>1866600000</v>
      </c>
      <c r="F110">
        <v>55830000</v>
      </c>
      <c r="G110">
        <v>4262</v>
      </c>
      <c r="H110">
        <v>3.4000000000000002E-2</v>
      </c>
      <c r="I110" t="b">
        <v>0</v>
      </c>
      <c r="J110">
        <v>1998</v>
      </c>
      <c r="K110" t="s">
        <v>15</v>
      </c>
      <c r="L110" t="s">
        <v>20</v>
      </c>
      <c r="M110">
        <v>10.41</v>
      </c>
      <c r="N110">
        <v>13099</v>
      </c>
      <c r="O110">
        <v>27</v>
      </c>
    </row>
    <row r="111" spans="1:15" x14ac:dyDescent="0.25">
      <c r="A111" t="s">
        <v>222</v>
      </c>
      <c r="B111" t="s">
        <v>31</v>
      </c>
      <c r="C111">
        <v>3</v>
      </c>
      <c r="D111">
        <v>157750000</v>
      </c>
      <c r="E111">
        <v>1310730000</v>
      </c>
      <c r="F111">
        <v>16690000</v>
      </c>
      <c r="G111">
        <v>4550</v>
      </c>
      <c r="H111">
        <v>6.8099999999999994E-2</v>
      </c>
      <c r="I111" t="b">
        <v>1</v>
      </c>
      <c r="J111">
        <v>2021</v>
      </c>
      <c r="K111" t="s">
        <v>25</v>
      </c>
      <c r="L111" t="s">
        <v>20</v>
      </c>
      <c r="M111">
        <v>8.31</v>
      </c>
      <c r="N111">
        <v>3668</v>
      </c>
      <c r="O111">
        <v>4</v>
      </c>
    </row>
    <row r="112" spans="1:15" x14ac:dyDescent="0.25">
      <c r="A112" t="s">
        <v>223</v>
      </c>
      <c r="B112" t="s">
        <v>31</v>
      </c>
      <c r="C112">
        <v>2</v>
      </c>
      <c r="D112">
        <v>78440000</v>
      </c>
      <c r="E112">
        <v>1018340000</v>
      </c>
      <c r="F112">
        <v>61390000</v>
      </c>
      <c r="G112">
        <v>1502</v>
      </c>
      <c r="H112">
        <v>8.0999999999999996E-3</v>
      </c>
      <c r="I112" t="b">
        <v>0</v>
      </c>
      <c r="J112">
        <v>1993</v>
      </c>
      <c r="K112" t="s">
        <v>15</v>
      </c>
      <c r="L112" t="s">
        <v>12</v>
      </c>
      <c r="M112">
        <v>12.98</v>
      </c>
      <c r="N112">
        <v>40872</v>
      </c>
      <c r="O112">
        <v>32</v>
      </c>
    </row>
    <row r="113" spans="1:15" x14ac:dyDescent="0.25">
      <c r="A113" t="s">
        <v>13</v>
      </c>
      <c r="B113" t="s">
        <v>14</v>
      </c>
      <c r="C113">
        <v>1</v>
      </c>
      <c r="D113">
        <v>247620000</v>
      </c>
      <c r="E113">
        <v>3310830000</v>
      </c>
      <c r="F113">
        <v>75650000</v>
      </c>
      <c r="G113">
        <v>3280</v>
      </c>
      <c r="H113">
        <v>8.1000000000000003E-2</v>
      </c>
      <c r="I113" t="b">
        <v>1</v>
      </c>
      <c r="J113">
        <v>2003</v>
      </c>
      <c r="K113" t="s">
        <v>15</v>
      </c>
      <c r="L113" t="s">
        <v>12</v>
      </c>
      <c r="M113">
        <v>13.37</v>
      </c>
      <c r="N113">
        <v>23064</v>
      </c>
      <c r="O113">
        <v>22</v>
      </c>
    </row>
    <row r="114" spans="1:15" x14ac:dyDescent="0.25">
      <c r="A114" t="s">
        <v>43</v>
      </c>
      <c r="B114" t="s">
        <v>31</v>
      </c>
      <c r="C114">
        <v>5</v>
      </c>
      <c r="D114">
        <v>222640000</v>
      </c>
      <c r="E114">
        <v>714350000</v>
      </c>
      <c r="F114">
        <v>87440000</v>
      </c>
      <c r="G114">
        <v>4642</v>
      </c>
      <c r="H114">
        <v>2.8299999999999999E-2</v>
      </c>
      <c r="I114" t="b">
        <v>0</v>
      </c>
      <c r="J114">
        <v>1995</v>
      </c>
      <c r="K114" t="s">
        <v>11</v>
      </c>
      <c r="L114" t="s">
        <v>12</v>
      </c>
      <c r="M114">
        <v>3.21</v>
      </c>
      <c r="N114">
        <v>18837</v>
      </c>
      <c r="O114">
        <v>30</v>
      </c>
    </row>
    <row r="115" spans="1:15" x14ac:dyDescent="0.25">
      <c r="A115" t="s">
        <v>224</v>
      </c>
      <c r="B115" t="s">
        <v>27</v>
      </c>
      <c r="C115">
        <v>1</v>
      </c>
      <c r="D115">
        <v>154820000</v>
      </c>
      <c r="E115">
        <v>1708470000</v>
      </c>
      <c r="F115">
        <v>36370000</v>
      </c>
      <c r="G115">
        <v>2163</v>
      </c>
      <c r="H115">
        <v>2.1299999999999999E-2</v>
      </c>
      <c r="I115" t="b">
        <v>0</v>
      </c>
      <c r="J115">
        <v>2007</v>
      </c>
      <c r="K115" t="s">
        <v>25</v>
      </c>
      <c r="L115" t="s">
        <v>12</v>
      </c>
      <c r="M115">
        <v>11.04</v>
      </c>
      <c r="N115">
        <v>16815</v>
      </c>
      <c r="O115">
        <v>18</v>
      </c>
    </row>
    <row r="116" spans="1:15" x14ac:dyDescent="0.25">
      <c r="A116" t="s">
        <v>225</v>
      </c>
      <c r="B116" t="s">
        <v>31</v>
      </c>
      <c r="C116">
        <v>5</v>
      </c>
      <c r="D116">
        <v>147610000</v>
      </c>
      <c r="E116">
        <v>566700000</v>
      </c>
      <c r="F116">
        <v>89730000</v>
      </c>
      <c r="G116">
        <v>2560</v>
      </c>
      <c r="H116">
        <v>3.8800000000000001E-2</v>
      </c>
      <c r="I116" t="b">
        <v>0</v>
      </c>
      <c r="J116">
        <v>1994</v>
      </c>
      <c r="K116" t="s">
        <v>11</v>
      </c>
      <c r="L116" t="s">
        <v>12</v>
      </c>
      <c r="M116">
        <v>3.84</v>
      </c>
      <c r="N116">
        <v>35051</v>
      </c>
      <c r="O116">
        <v>31</v>
      </c>
    </row>
    <row r="117" spans="1:15" x14ac:dyDescent="0.25">
      <c r="A117" t="s">
        <v>226</v>
      </c>
      <c r="B117" t="s">
        <v>18</v>
      </c>
      <c r="C117">
        <v>4</v>
      </c>
      <c r="D117">
        <v>298900000</v>
      </c>
      <c r="E117">
        <v>3192860000</v>
      </c>
      <c r="F117">
        <v>16970000</v>
      </c>
      <c r="G117">
        <v>2347</v>
      </c>
      <c r="H117">
        <v>9.8199999999999996E-2</v>
      </c>
      <c r="I117" t="b">
        <v>1</v>
      </c>
      <c r="J117">
        <v>2009</v>
      </c>
      <c r="K117" t="s">
        <v>25</v>
      </c>
      <c r="L117" t="s">
        <v>12</v>
      </c>
      <c r="M117">
        <v>10.68</v>
      </c>
      <c r="N117">
        <v>7231</v>
      </c>
      <c r="O117">
        <v>16</v>
      </c>
    </row>
    <row r="118" spans="1:15" x14ac:dyDescent="0.25">
      <c r="A118" t="s">
        <v>227</v>
      </c>
      <c r="B118" t="s">
        <v>22</v>
      </c>
      <c r="C118">
        <v>2</v>
      </c>
      <c r="D118">
        <v>269280000</v>
      </c>
      <c r="E118">
        <v>1684010000</v>
      </c>
      <c r="F118">
        <v>50750000</v>
      </c>
      <c r="G118">
        <v>2956</v>
      </c>
      <c r="H118">
        <v>7.8700000000000006E-2</v>
      </c>
      <c r="I118" t="b">
        <v>0</v>
      </c>
      <c r="J118">
        <v>2012</v>
      </c>
      <c r="K118" t="s">
        <v>29</v>
      </c>
      <c r="L118" t="s">
        <v>12</v>
      </c>
      <c r="M118">
        <v>6.25</v>
      </c>
      <c r="N118">
        <v>17168</v>
      </c>
      <c r="O118">
        <v>13</v>
      </c>
    </row>
    <row r="119" spans="1:15" x14ac:dyDescent="0.25">
      <c r="A119" t="s">
        <v>228</v>
      </c>
      <c r="B119" t="s">
        <v>18</v>
      </c>
      <c r="C119">
        <v>2</v>
      </c>
      <c r="D119">
        <v>139280000</v>
      </c>
      <c r="E119">
        <v>1408640000</v>
      </c>
      <c r="F119">
        <v>59850000</v>
      </c>
      <c r="G119">
        <v>1243</v>
      </c>
      <c r="H119">
        <v>7.3599999999999999E-2</v>
      </c>
      <c r="I119" t="b">
        <v>0</v>
      </c>
      <c r="J119">
        <v>2000</v>
      </c>
      <c r="K119" t="s">
        <v>29</v>
      </c>
      <c r="L119" t="s">
        <v>12</v>
      </c>
      <c r="M119">
        <v>10.11</v>
      </c>
      <c r="N119">
        <v>48150</v>
      </c>
      <c r="O119">
        <v>25</v>
      </c>
    </row>
    <row r="120" spans="1:15" x14ac:dyDescent="0.25">
      <c r="A120" t="s">
        <v>229</v>
      </c>
      <c r="B120" t="s">
        <v>14</v>
      </c>
      <c r="C120">
        <v>3</v>
      </c>
      <c r="D120">
        <v>187070000</v>
      </c>
      <c r="E120">
        <v>2088000000</v>
      </c>
      <c r="F120">
        <v>3440000</v>
      </c>
      <c r="G120">
        <v>978</v>
      </c>
      <c r="H120">
        <v>1.2500000000000001E-2</v>
      </c>
      <c r="I120" t="b">
        <v>0</v>
      </c>
      <c r="J120">
        <v>2011</v>
      </c>
      <c r="K120" t="s">
        <v>29</v>
      </c>
      <c r="L120" t="s">
        <v>12</v>
      </c>
      <c r="M120">
        <v>11.16</v>
      </c>
      <c r="N120">
        <v>3517</v>
      </c>
      <c r="O120">
        <v>14</v>
      </c>
    </row>
    <row r="121" spans="1:15" x14ac:dyDescent="0.25">
      <c r="A121" t="s">
        <v>230</v>
      </c>
      <c r="B121" t="s">
        <v>14</v>
      </c>
      <c r="C121">
        <v>3</v>
      </c>
      <c r="D121">
        <v>224490000</v>
      </c>
      <c r="E121">
        <v>1295300000</v>
      </c>
      <c r="F121">
        <v>36430000</v>
      </c>
      <c r="G121">
        <v>4732</v>
      </c>
      <c r="H121">
        <v>7.8299999999999995E-2</v>
      </c>
      <c r="I121" t="b">
        <v>0</v>
      </c>
      <c r="J121">
        <v>1993</v>
      </c>
      <c r="K121" t="s">
        <v>38</v>
      </c>
      <c r="L121" t="s">
        <v>12</v>
      </c>
      <c r="M121">
        <v>5.77</v>
      </c>
      <c r="N121">
        <v>7699</v>
      </c>
      <c r="O121">
        <v>32</v>
      </c>
    </row>
    <row r="122" spans="1:15" x14ac:dyDescent="0.25">
      <c r="A122" t="s">
        <v>231</v>
      </c>
      <c r="B122" t="s">
        <v>72</v>
      </c>
      <c r="C122">
        <v>5</v>
      </c>
      <c r="D122">
        <v>10940000</v>
      </c>
      <c r="E122">
        <v>92800000</v>
      </c>
      <c r="F122">
        <v>73290000</v>
      </c>
      <c r="G122">
        <v>3970</v>
      </c>
      <c r="H122">
        <v>7.8700000000000006E-2</v>
      </c>
      <c r="I122" t="b">
        <v>0</v>
      </c>
      <c r="J122">
        <v>2018</v>
      </c>
      <c r="K122" t="s">
        <v>38</v>
      </c>
      <c r="L122" t="s">
        <v>12</v>
      </c>
      <c r="M122">
        <v>8.48</v>
      </c>
      <c r="N122">
        <v>18461</v>
      </c>
      <c r="O122">
        <v>7</v>
      </c>
    </row>
    <row r="123" spans="1:15" x14ac:dyDescent="0.25">
      <c r="A123" t="s">
        <v>232</v>
      </c>
      <c r="B123" t="s">
        <v>18</v>
      </c>
      <c r="C123">
        <v>5</v>
      </c>
      <c r="D123">
        <v>268530000</v>
      </c>
      <c r="E123">
        <v>1418890000</v>
      </c>
      <c r="F123">
        <v>82060000</v>
      </c>
      <c r="G123">
        <v>1055</v>
      </c>
      <c r="H123">
        <v>6.0499999999999998E-2</v>
      </c>
      <c r="I123" t="b">
        <v>1</v>
      </c>
      <c r="J123">
        <v>2002</v>
      </c>
      <c r="K123" t="s">
        <v>38</v>
      </c>
      <c r="L123" t="s">
        <v>20</v>
      </c>
      <c r="M123">
        <v>5.28</v>
      </c>
      <c r="N123">
        <v>77782</v>
      </c>
      <c r="O123">
        <v>23</v>
      </c>
    </row>
    <row r="124" spans="1:15" x14ac:dyDescent="0.25">
      <c r="A124" t="s">
        <v>233</v>
      </c>
      <c r="B124" t="s">
        <v>18</v>
      </c>
      <c r="C124">
        <v>1</v>
      </c>
      <c r="D124">
        <v>258110000</v>
      </c>
      <c r="E124">
        <v>936440000</v>
      </c>
      <c r="F124">
        <v>31380000</v>
      </c>
      <c r="G124">
        <v>3706</v>
      </c>
      <c r="H124">
        <v>9.9000000000000005E-2</v>
      </c>
      <c r="I124" t="b">
        <v>0</v>
      </c>
      <c r="J124">
        <v>1998</v>
      </c>
      <c r="K124" t="s">
        <v>25</v>
      </c>
      <c r="L124" t="s">
        <v>23</v>
      </c>
      <c r="M124">
        <v>3.63</v>
      </c>
      <c r="N124">
        <v>8467</v>
      </c>
      <c r="O124">
        <v>27</v>
      </c>
    </row>
    <row r="125" spans="1:15" x14ac:dyDescent="0.25">
      <c r="A125" t="s">
        <v>44</v>
      </c>
      <c r="B125" t="s">
        <v>18</v>
      </c>
      <c r="C125">
        <v>5</v>
      </c>
      <c r="D125">
        <v>209800000</v>
      </c>
      <c r="E125">
        <v>1442910000</v>
      </c>
      <c r="F125">
        <v>51060000</v>
      </c>
      <c r="G125">
        <v>4014</v>
      </c>
      <c r="H125">
        <v>6.2600000000000003E-2</v>
      </c>
      <c r="I125" t="b">
        <v>1</v>
      </c>
      <c r="J125">
        <v>2007</v>
      </c>
      <c r="K125" t="s">
        <v>29</v>
      </c>
      <c r="L125" t="s">
        <v>12</v>
      </c>
      <c r="M125">
        <v>6.88</v>
      </c>
      <c r="N125">
        <v>12720</v>
      </c>
      <c r="O125">
        <v>18</v>
      </c>
    </row>
    <row r="126" spans="1:15" x14ac:dyDescent="0.25">
      <c r="A126" t="s">
        <v>234</v>
      </c>
      <c r="B126" t="s">
        <v>18</v>
      </c>
      <c r="C126">
        <v>1</v>
      </c>
      <c r="D126">
        <v>137500000</v>
      </c>
      <c r="E126">
        <v>1036990000</v>
      </c>
      <c r="F126">
        <v>79880000</v>
      </c>
      <c r="G126">
        <v>2785</v>
      </c>
      <c r="H126">
        <v>3.32E-2</v>
      </c>
      <c r="I126" t="b">
        <v>0</v>
      </c>
      <c r="J126">
        <v>2020</v>
      </c>
      <c r="K126" t="s">
        <v>38</v>
      </c>
      <c r="L126" t="s">
        <v>12</v>
      </c>
      <c r="M126">
        <v>7.54</v>
      </c>
      <c r="N126">
        <v>28682</v>
      </c>
      <c r="O126">
        <v>5</v>
      </c>
    </row>
    <row r="127" spans="1:15" x14ac:dyDescent="0.25">
      <c r="A127" t="s">
        <v>235</v>
      </c>
      <c r="B127" t="s">
        <v>10</v>
      </c>
      <c r="C127">
        <v>5</v>
      </c>
      <c r="D127">
        <v>117660000</v>
      </c>
      <c r="E127">
        <v>865430000</v>
      </c>
      <c r="F127">
        <v>96780000</v>
      </c>
      <c r="G127">
        <v>1593</v>
      </c>
      <c r="H127">
        <v>9.4200000000000006E-2</v>
      </c>
      <c r="I127" t="b">
        <v>1</v>
      </c>
      <c r="J127">
        <v>1996</v>
      </c>
      <c r="K127" t="s">
        <v>11</v>
      </c>
      <c r="L127" t="s">
        <v>23</v>
      </c>
      <c r="M127">
        <v>7.36</v>
      </c>
      <c r="N127">
        <v>60753</v>
      </c>
      <c r="O127">
        <v>29</v>
      </c>
    </row>
    <row r="128" spans="1:15" x14ac:dyDescent="0.25">
      <c r="A128" t="s">
        <v>236</v>
      </c>
      <c r="B128" t="s">
        <v>31</v>
      </c>
      <c r="C128">
        <v>5</v>
      </c>
      <c r="D128">
        <v>82250000</v>
      </c>
      <c r="E128">
        <v>1229290000</v>
      </c>
      <c r="F128">
        <v>85700000</v>
      </c>
      <c r="G128">
        <v>3883</v>
      </c>
      <c r="H128">
        <v>9.1600000000000001E-2</v>
      </c>
      <c r="I128" t="b">
        <v>0</v>
      </c>
      <c r="J128">
        <v>1993</v>
      </c>
      <c r="K128" t="s">
        <v>29</v>
      </c>
      <c r="L128" t="s">
        <v>12</v>
      </c>
      <c r="M128">
        <v>14.95</v>
      </c>
      <c r="N128">
        <v>22071</v>
      </c>
      <c r="O128">
        <v>32</v>
      </c>
    </row>
    <row r="129" spans="1:15" x14ac:dyDescent="0.25">
      <c r="A129" t="s">
        <v>237</v>
      </c>
      <c r="B129" t="s">
        <v>22</v>
      </c>
      <c r="C129">
        <v>4</v>
      </c>
      <c r="D129">
        <v>143260000</v>
      </c>
      <c r="E129">
        <v>1197110000</v>
      </c>
      <c r="F129">
        <v>11850000</v>
      </c>
      <c r="G129">
        <v>2373</v>
      </c>
      <c r="H129">
        <v>2.0999999999999999E-3</v>
      </c>
      <c r="I129" t="b">
        <v>0</v>
      </c>
      <c r="J129">
        <v>2008</v>
      </c>
      <c r="K129" t="s">
        <v>25</v>
      </c>
      <c r="L129" t="s">
        <v>12</v>
      </c>
      <c r="M129">
        <v>8.36</v>
      </c>
      <c r="N129">
        <v>4994</v>
      </c>
      <c r="O129">
        <v>17</v>
      </c>
    </row>
    <row r="130" spans="1:15" x14ac:dyDescent="0.25">
      <c r="A130" t="s">
        <v>238</v>
      </c>
      <c r="B130" t="s">
        <v>72</v>
      </c>
      <c r="C130">
        <v>3</v>
      </c>
      <c r="D130">
        <v>13790000</v>
      </c>
      <c r="E130">
        <v>96570000</v>
      </c>
      <c r="F130">
        <v>74000000</v>
      </c>
      <c r="G130">
        <v>441</v>
      </c>
      <c r="H130">
        <v>4.5600000000000002E-2</v>
      </c>
      <c r="I130" t="b">
        <v>0</v>
      </c>
      <c r="J130">
        <v>2019</v>
      </c>
      <c r="K130" t="s">
        <v>29</v>
      </c>
      <c r="L130" t="s">
        <v>12</v>
      </c>
      <c r="M130">
        <v>7</v>
      </c>
      <c r="N130">
        <v>167800</v>
      </c>
      <c r="O130">
        <v>6</v>
      </c>
    </row>
    <row r="131" spans="1:15" x14ac:dyDescent="0.25">
      <c r="A131" t="s">
        <v>239</v>
      </c>
      <c r="B131" t="s">
        <v>18</v>
      </c>
      <c r="C131">
        <v>1</v>
      </c>
      <c r="D131">
        <v>255730000</v>
      </c>
      <c r="E131">
        <v>2548530000</v>
      </c>
      <c r="F131">
        <v>32030000</v>
      </c>
      <c r="G131">
        <v>2833</v>
      </c>
      <c r="H131">
        <v>9.7699999999999995E-2</v>
      </c>
      <c r="I131" t="b">
        <v>1</v>
      </c>
      <c r="J131">
        <v>2020</v>
      </c>
      <c r="K131" t="s">
        <v>38</v>
      </c>
      <c r="L131" t="s">
        <v>12</v>
      </c>
      <c r="M131">
        <v>9.9700000000000006</v>
      </c>
      <c r="N131">
        <v>11306</v>
      </c>
      <c r="O131">
        <v>5</v>
      </c>
    </row>
    <row r="132" spans="1:15" x14ac:dyDescent="0.25">
      <c r="A132" t="s">
        <v>240</v>
      </c>
      <c r="B132" t="s">
        <v>18</v>
      </c>
      <c r="C132">
        <v>3</v>
      </c>
      <c r="D132">
        <v>11110000</v>
      </c>
      <c r="E132">
        <v>45160000</v>
      </c>
      <c r="F132">
        <v>98840000</v>
      </c>
      <c r="G132">
        <v>1561</v>
      </c>
      <c r="H132">
        <v>1.12E-2</v>
      </c>
      <c r="I132" t="b">
        <v>0</v>
      </c>
      <c r="J132">
        <v>2010</v>
      </c>
      <c r="K132" t="s">
        <v>25</v>
      </c>
      <c r="L132" t="s">
        <v>12</v>
      </c>
      <c r="M132">
        <v>4.0599999999999996</v>
      </c>
      <c r="N132">
        <v>63318</v>
      </c>
      <c r="O132">
        <v>15</v>
      </c>
    </row>
    <row r="133" spans="1:15" x14ac:dyDescent="0.25">
      <c r="A133" t="s">
        <v>241</v>
      </c>
      <c r="B133" t="s">
        <v>27</v>
      </c>
      <c r="C133">
        <v>3</v>
      </c>
      <c r="D133">
        <v>99050000</v>
      </c>
      <c r="E133">
        <v>1440190000</v>
      </c>
      <c r="F133">
        <v>48590000</v>
      </c>
      <c r="G133">
        <v>3863</v>
      </c>
      <c r="H133">
        <v>5.5199999999999999E-2</v>
      </c>
      <c r="I133" t="b">
        <v>1</v>
      </c>
      <c r="J133">
        <v>2020</v>
      </c>
      <c r="K133" t="s">
        <v>15</v>
      </c>
      <c r="L133" t="s">
        <v>12</v>
      </c>
      <c r="M133">
        <v>14.54</v>
      </c>
      <c r="N133">
        <v>12578</v>
      </c>
      <c r="O133">
        <v>5</v>
      </c>
    </row>
    <row r="134" spans="1:15" x14ac:dyDescent="0.25">
      <c r="A134" t="s">
        <v>242</v>
      </c>
      <c r="B134" t="s">
        <v>72</v>
      </c>
      <c r="C134">
        <v>5</v>
      </c>
      <c r="D134">
        <v>279510000</v>
      </c>
      <c r="E134">
        <v>2968260000</v>
      </c>
      <c r="F134">
        <v>12330000</v>
      </c>
      <c r="G134">
        <v>1309</v>
      </c>
      <c r="H134">
        <v>9.7900000000000001E-2</v>
      </c>
      <c r="I134" t="b">
        <v>1</v>
      </c>
      <c r="J134">
        <v>2008</v>
      </c>
      <c r="K134" t="s">
        <v>11</v>
      </c>
      <c r="L134" t="s">
        <v>12</v>
      </c>
      <c r="M134">
        <v>10.62</v>
      </c>
      <c r="N134">
        <v>9419</v>
      </c>
      <c r="O134">
        <v>17</v>
      </c>
    </row>
    <row r="135" spans="1:15" x14ac:dyDescent="0.25">
      <c r="A135" t="s">
        <v>243</v>
      </c>
      <c r="B135" t="s">
        <v>18</v>
      </c>
      <c r="C135">
        <v>4</v>
      </c>
      <c r="D135">
        <v>220700000</v>
      </c>
      <c r="E135">
        <v>2661210000</v>
      </c>
      <c r="F135">
        <v>72550000</v>
      </c>
      <c r="G135">
        <v>2389</v>
      </c>
      <c r="H135">
        <v>5.6000000000000001E-2</v>
      </c>
      <c r="I135" t="b">
        <v>0</v>
      </c>
      <c r="J135">
        <v>2020</v>
      </c>
      <c r="K135" t="s">
        <v>38</v>
      </c>
      <c r="L135" t="s">
        <v>12</v>
      </c>
      <c r="M135">
        <v>12.06</v>
      </c>
      <c r="N135">
        <v>30368</v>
      </c>
      <c r="O135">
        <v>5</v>
      </c>
    </row>
    <row r="136" spans="1:15" x14ac:dyDescent="0.25">
      <c r="A136" t="s">
        <v>45</v>
      </c>
      <c r="B136" t="s">
        <v>10</v>
      </c>
      <c r="C136">
        <v>1</v>
      </c>
      <c r="D136">
        <v>121060000</v>
      </c>
      <c r="E136">
        <v>1776820000</v>
      </c>
      <c r="F136">
        <v>72370000</v>
      </c>
      <c r="G136">
        <v>2174</v>
      </c>
      <c r="H136">
        <v>9.9299999999999999E-2</v>
      </c>
      <c r="I136" t="b">
        <v>0</v>
      </c>
      <c r="J136">
        <v>1993</v>
      </c>
      <c r="K136" t="s">
        <v>11</v>
      </c>
      <c r="L136" t="s">
        <v>12</v>
      </c>
      <c r="M136">
        <v>14.68</v>
      </c>
      <c r="N136">
        <v>33289</v>
      </c>
      <c r="O136">
        <v>32</v>
      </c>
    </row>
    <row r="137" spans="1:15" x14ac:dyDescent="0.25">
      <c r="A137" t="s">
        <v>244</v>
      </c>
      <c r="B137" t="s">
        <v>72</v>
      </c>
      <c r="C137">
        <v>2</v>
      </c>
      <c r="D137">
        <v>84780000</v>
      </c>
      <c r="E137">
        <v>427780000</v>
      </c>
      <c r="F137">
        <v>32370000</v>
      </c>
      <c r="G137">
        <v>187</v>
      </c>
      <c r="H137">
        <v>1.9800000000000002E-2</v>
      </c>
      <c r="I137" t="b">
        <v>1</v>
      </c>
      <c r="J137">
        <v>2021</v>
      </c>
      <c r="K137" t="s">
        <v>38</v>
      </c>
      <c r="L137" t="s">
        <v>12</v>
      </c>
      <c r="M137">
        <v>5.05</v>
      </c>
      <c r="N137">
        <v>173102</v>
      </c>
      <c r="O137">
        <v>4</v>
      </c>
    </row>
    <row r="138" spans="1:15" x14ac:dyDescent="0.25">
      <c r="A138" t="s">
        <v>245</v>
      </c>
      <c r="B138" t="s">
        <v>31</v>
      </c>
      <c r="C138">
        <v>4</v>
      </c>
      <c r="D138">
        <v>76170000</v>
      </c>
      <c r="E138">
        <v>602790000</v>
      </c>
      <c r="F138">
        <v>99710000</v>
      </c>
      <c r="G138">
        <v>1594</v>
      </c>
      <c r="H138">
        <v>5.8599999999999999E-2</v>
      </c>
      <c r="I138" t="b">
        <v>0</v>
      </c>
      <c r="J138">
        <v>1991</v>
      </c>
      <c r="K138" t="s">
        <v>11</v>
      </c>
      <c r="L138" t="s">
        <v>12</v>
      </c>
      <c r="M138">
        <v>7.91</v>
      </c>
      <c r="N138">
        <v>62553</v>
      </c>
      <c r="O138">
        <v>34</v>
      </c>
    </row>
    <row r="139" spans="1:15" x14ac:dyDescent="0.25">
      <c r="A139" t="s">
        <v>246</v>
      </c>
      <c r="B139" t="s">
        <v>27</v>
      </c>
      <c r="C139">
        <v>4</v>
      </c>
      <c r="D139">
        <v>2020000</v>
      </c>
      <c r="E139">
        <v>16310000</v>
      </c>
      <c r="F139">
        <v>97980000</v>
      </c>
      <c r="G139">
        <v>1592</v>
      </c>
      <c r="H139">
        <v>2.12E-2</v>
      </c>
      <c r="I139" t="b">
        <v>0</v>
      </c>
      <c r="J139">
        <v>1999</v>
      </c>
      <c r="K139" t="s">
        <v>11</v>
      </c>
      <c r="L139" t="s">
        <v>12</v>
      </c>
      <c r="M139">
        <v>8.07</v>
      </c>
      <c r="N139">
        <v>61545</v>
      </c>
      <c r="O139">
        <v>26</v>
      </c>
    </row>
    <row r="140" spans="1:15" x14ac:dyDescent="0.25">
      <c r="A140" t="s">
        <v>247</v>
      </c>
      <c r="B140" t="s">
        <v>72</v>
      </c>
      <c r="C140">
        <v>3</v>
      </c>
      <c r="D140">
        <v>208870000</v>
      </c>
      <c r="E140">
        <v>2686420000</v>
      </c>
      <c r="F140">
        <v>65650000</v>
      </c>
      <c r="G140">
        <v>664</v>
      </c>
      <c r="H140">
        <v>5.2499999999999998E-2</v>
      </c>
      <c r="I140" t="b">
        <v>1</v>
      </c>
      <c r="J140">
        <v>1991</v>
      </c>
      <c r="K140" t="s">
        <v>15</v>
      </c>
      <c r="L140" t="s">
        <v>12</v>
      </c>
      <c r="M140">
        <v>12.86</v>
      </c>
      <c r="N140">
        <v>98870</v>
      </c>
      <c r="O140">
        <v>34</v>
      </c>
    </row>
    <row r="141" spans="1:15" x14ac:dyDescent="0.25">
      <c r="A141" t="s">
        <v>248</v>
      </c>
      <c r="B141" t="s">
        <v>22</v>
      </c>
      <c r="C141">
        <v>4</v>
      </c>
      <c r="D141">
        <v>15110000</v>
      </c>
      <c r="E141">
        <v>45550000</v>
      </c>
      <c r="F141">
        <v>13070000</v>
      </c>
      <c r="G141">
        <v>164</v>
      </c>
      <c r="H141">
        <v>8.3000000000000001E-3</v>
      </c>
      <c r="I141" t="b">
        <v>1</v>
      </c>
      <c r="J141">
        <v>1991</v>
      </c>
      <c r="K141" t="s">
        <v>38</v>
      </c>
      <c r="L141" t="s">
        <v>12</v>
      </c>
      <c r="M141">
        <v>3.01</v>
      </c>
      <c r="N141">
        <v>79695</v>
      </c>
      <c r="O141">
        <v>34</v>
      </c>
    </row>
    <row r="142" spans="1:15" x14ac:dyDescent="0.25">
      <c r="A142" t="s">
        <v>249</v>
      </c>
      <c r="B142" t="s">
        <v>22</v>
      </c>
      <c r="C142">
        <v>1</v>
      </c>
      <c r="D142">
        <v>160010000</v>
      </c>
      <c r="E142">
        <v>1057700000</v>
      </c>
      <c r="F142">
        <v>68720000</v>
      </c>
      <c r="G142">
        <v>3958</v>
      </c>
      <c r="H142">
        <v>6.0900000000000003E-2</v>
      </c>
      <c r="I142" t="b">
        <v>1</v>
      </c>
      <c r="J142">
        <v>2013</v>
      </c>
      <c r="K142" t="s">
        <v>38</v>
      </c>
      <c r="L142" t="s">
        <v>12</v>
      </c>
      <c r="M142">
        <v>6.61</v>
      </c>
      <c r="N142">
        <v>17362</v>
      </c>
      <c r="O142">
        <v>12</v>
      </c>
    </row>
    <row r="143" spans="1:15" x14ac:dyDescent="0.25">
      <c r="A143" t="s">
        <v>250</v>
      </c>
      <c r="B143" t="s">
        <v>14</v>
      </c>
      <c r="C143">
        <v>3</v>
      </c>
      <c r="D143">
        <v>288660000</v>
      </c>
      <c r="E143">
        <v>4264900000</v>
      </c>
      <c r="F143">
        <v>9390000</v>
      </c>
      <c r="G143">
        <v>1016</v>
      </c>
      <c r="H143">
        <v>5.2200000000000003E-2</v>
      </c>
      <c r="I143" t="b">
        <v>0</v>
      </c>
      <c r="J143">
        <v>2006</v>
      </c>
      <c r="K143" t="s">
        <v>29</v>
      </c>
      <c r="L143" t="s">
        <v>12</v>
      </c>
      <c r="M143">
        <v>14.77</v>
      </c>
      <c r="N143">
        <v>9242</v>
      </c>
      <c r="O143">
        <v>19</v>
      </c>
    </row>
    <row r="144" spans="1:15" x14ac:dyDescent="0.25">
      <c r="A144" t="s">
        <v>251</v>
      </c>
      <c r="B144" t="s">
        <v>27</v>
      </c>
      <c r="C144">
        <v>1</v>
      </c>
      <c r="D144">
        <v>33290000</v>
      </c>
      <c r="E144">
        <v>289580000</v>
      </c>
      <c r="F144">
        <v>3030000</v>
      </c>
      <c r="G144">
        <v>57</v>
      </c>
      <c r="H144">
        <v>7.4300000000000005E-2</v>
      </c>
      <c r="I144" t="b">
        <v>0</v>
      </c>
      <c r="J144">
        <v>2021</v>
      </c>
      <c r="K144" t="s">
        <v>25</v>
      </c>
      <c r="L144" t="s">
        <v>12</v>
      </c>
      <c r="M144">
        <v>8.6999999999999993</v>
      </c>
      <c r="N144">
        <v>53158</v>
      </c>
      <c r="O144">
        <v>4</v>
      </c>
    </row>
    <row r="145" spans="1:15" x14ac:dyDescent="0.25">
      <c r="A145" t="s">
        <v>252</v>
      </c>
      <c r="B145" t="s">
        <v>27</v>
      </c>
      <c r="C145">
        <v>2</v>
      </c>
      <c r="D145">
        <v>268400000</v>
      </c>
      <c r="E145">
        <v>2037240000</v>
      </c>
      <c r="F145">
        <v>82310000</v>
      </c>
      <c r="G145">
        <v>2312</v>
      </c>
      <c r="H145">
        <v>6.3399999999999998E-2</v>
      </c>
      <c r="I145" t="b">
        <v>1</v>
      </c>
      <c r="J145">
        <v>2005</v>
      </c>
      <c r="K145" t="s">
        <v>25</v>
      </c>
      <c r="L145" t="s">
        <v>12</v>
      </c>
      <c r="M145">
        <v>7.59</v>
      </c>
      <c r="N145">
        <v>35601</v>
      </c>
      <c r="O145">
        <v>20</v>
      </c>
    </row>
    <row r="146" spans="1:15" x14ac:dyDescent="0.25">
      <c r="A146" t="s">
        <v>253</v>
      </c>
      <c r="B146" t="s">
        <v>14</v>
      </c>
      <c r="C146">
        <v>3</v>
      </c>
      <c r="D146">
        <v>297450000</v>
      </c>
      <c r="E146">
        <v>1320070000</v>
      </c>
      <c r="F146">
        <v>21050000</v>
      </c>
      <c r="G146">
        <v>1233</v>
      </c>
      <c r="H146">
        <v>5.5399999999999998E-2</v>
      </c>
      <c r="I146" t="b">
        <v>0</v>
      </c>
      <c r="J146">
        <v>2005</v>
      </c>
      <c r="K146" t="s">
        <v>29</v>
      </c>
      <c r="L146" t="s">
        <v>12</v>
      </c>
      <c r="M146">
        <v>4.4400000000000004</v>
      </c>
      <c r="N146">
        <v>17072</v>
      </c>
      <c r="O146">
        <v>20</v>
      </c>
    </row>
    <row r="147" spans="1:15" x14ac:dyDescent="0.25">
      <c r="A147" t="s">
        <v>46</v>
      </c>
      <c r="B147" t="s">
        <v>36</v>
      </c>
      <c r="C147">
        <v>1</v>
      </c>
      <c r="D147">
        <v>65800000</v>
      </c>
      <c r="E147">
        <v>655460000</v>
      </c>
      <c r="F147">
        <v>10500000</v>
      </c>
      <c r="G147">
        <v>2177</v>
      </c>
      <c r="H147">
        <v>3.9199999999999999E-2</v>
      </c>
      <c r="I147" t="b">
        <v>0</v>
      </c>
      <c r="J147">
        <v>2006</v>
      </c>
      <c r="K147" t="s">
        <v>25</v>
      </c>
      <c r="L147" t="s">
        <v>12</v>
      </c>
      <c r="M147">
        <v>9.9600000000000009</v>
      </c>
      <c r="N147">
        <v>4823</v>
      </c>
      <c r="O147">
        <v>19</v>
      </c>
    </row>
    <row r="148" spans="1:15" x14ac:dyDescent="0.25">
      <c r="A148" t="s">
        <v>254</v>
      </c>
      <c r="B148" t="s">
        <v>72</v>
      </c>
      <c r="C148">
        <v>2</v>
      </c>
      <c r="D148">
        <v>18920000</v>
      </c>
      <c r="E148">
        <v>277930000</v>
      </c>
      <c r="F148">
        <v>37960000</v>
      </c>
      <c r="G148">
        <v>1040</v>
      </c>
      <c r="H148">
        <v>6.93E-2</v>
      </c>
      <c r="I148" t="b">
        <v>0</v>
      </c>
      <c r="J148">
        <v>2020</v>
      </c>
      <c r="K148" t="s">
        <v>25</v>
      </c>
      <c r="L148" t="s">
        <v>12</v>
      </c>
      <c r="M148">
        <v>14.69</v>
      </c>
      <c r="N148">
        <v>36500</v>
      </c>
      <c r="O148">
        <v>5</v>
      </c>
    </row>
    <row r="149" spans="1:15" x14ac:dyDescent="0.25">
      <c r="A149" t="s">
        <v>255</v>
      </c>
      <c r="B149" t="s">
        <v>27</v>
      </c>
      <c r="C149">
        <v>3</v>
      </c>
      <c r="D149">
        <v>264930000</v>
      </c>
      <c r="E149">
        <v>858460000</v>
      </c>
      <c r="F149">
        <v>97350000</v>
      </c>
      <c r="G149">
        <v>3707</v>
      </c>
      <c r="H149">
        <v>1.5299999999999999E-2</v>
      </c>
      <c r="I149" t="b">
        <v>0</v>
      </c>
      <c r="J149">
        <v>2013</v>
      </c>
      <c r="K149" t="s">
        <v>11</v>
      </c>
      <c r="L149" t="s">
        <v>12</v>
      </c>
      <c r="M149">
        <v>3.24</v>
      </c>
      <c r="N149">
        <v>26261</v>
      </c>
      <c r="O149">
        <v>12</v>
      </c>
    </row>
    <row r="150" spans="1:15" x14ac:dyDescent="0.25">
      <c r="A150" t="s">
        <v>256</v>
      </c>
      <c r="B150" t="s">
        <v>22</v>
      </c>
      <c r="C150">
        <v>5</v>
      </c>
      <c r="D150">
        <v>155070000</v>
      </c>
      <c r="E150">
        <v>1836980000</v>
      </c>
      <c r="F150">
        <v>33750000</v>
      </c>
      <c r="G150">
        <v>4050</v>
      </c>
      <c r="H150">
        <v>5.9900000000000002E-2</v>
      </c>
      <c r="I150" t="b">
        <v>0</v>
      </c>
      <c r="J150">
        <v>1990</v>
      </c>
      <c r="K150" t="s">
        <v>25</v>
      </c>
      <c r="L150" t="s">
        <v>12</v>
      </c>
      <c r="M150">
        <v>11.85</v>
      </c>
      <c r="N150">
        <v>8333</v>
      </c>
      <c r="O150">
        <v>35</v>
      </c>
    </row>
    <row r="151" spans="1:15" x14ac:dyDescent="0.25">
      <c r="A151" t="s">
        <v>257</v>
      </c>
      <c r="B151" t="s">
        <v>22</v>
      </c>
      <c r="C151">
        <v>4</v>
      </c>
      <c r="D151">
        <v>272000000</v>
      </c>
      <c r="E151">
        <v>3324710000</v>
      </c>
      <c r="F151">
        <v>29720000</v>
      </c>
      <c r="G151">
        <v>4950</v>
      </c>
      <c r="H151">
        <v>1.7999999999999999E-2</v>
      </c>
      <c r="I151" t="b">
        <v>1</v>
      </c>
      <c r="J151">
        <v>2000</v>
      </c>
      <c r="K151" t="s">
        <v>25</v>
      </c>
      <c r="L151" t="s">
        <v>12</v>
      </c>
      <c r="M151">
        <v>12.22</v>
      </c>
      <c r="N151">
        <v>6004</v>
      </c>
      <c r="O151">
        <v>25</v>
      </c>
    </row>
    <row r="152" spans="1:15" x14ac:dyDescent="0.25">
      <c r="A152" t="s">
        <v>258</v>
      </c>
      <c r="B152" t="s">
        <v>18</v>
      </c>
      <c r="C152">
        <v>5</v>
      </c>
      <c r="D152">
        <v>171610000</v>
      </c>
      <c r="E152">
        <v>1016600000</v>
      </c>
      <c r="F152">
        <v>91830000</v>
      </c>
      <c r="G152">
        <v>4454</v>
      </c>
      <c r="H152">
        <v>9.2600000000000002E-2</v>
      </c>
      <c r="I152" t="b">
        <v>0</v>
      </c>
      <c r="J152">
        <v>2010</v>
      </c>
      <c r="K152" t="s">
        <v>29</v>
      </c>
      <c r="L152" t="s">
        <v>12</v>
      </c>
      <c r="M152">
        <v>5.92</v>
      </c>
      <c r="N152">
        <v>20617</v>
      </c>
      <c r="O152">
        <v>15</v>
      </c>
    </row>
    <row r="153" spans="1:15" x14ac:dyDescent="0.25">
      <c r="A153" t="s">
        <v>259</v>
      </c>
      <c r="B153" t="s">
        <v>31</v>
      </c>
      <c r="C153">
        <v>2</v>
      </c>
      <c r="D153">
        <v>198800000</v>
      </c>
      <c r="E153">
        <v>2198470000</v>
      </c>
      <c r="F153">
        <v>11160000</v>
      </c>
      <c r="G153">
        <v>1269</v>
      </c>
      <c r="H153">
        <v>7.7999999999999996E-3</v>
      </c>
      <c r="I153" t="b">
        <v>1</v>
      </c>
      <c r="J153">
        <v>1993</v>
      </c>
      <c r="K153" t="s">
        <v>15</v>
      </c>
      <c r="L153" t="s">
        <v>20</v>
      </c>
      <c r="M153">
        <v>11.06</v>
      </c>
      <c r="N153">
        <v>8794</v>
      </c>
      <c r="O153">
        <v>32</v>
      </c>
    </row>
    <row r="154" spans="1:15" x14ac:dyDescent="0.25">
      <c r="A154" t="s">
        <v>260</v>
      </c>
      <c r="B154" t="s">
        <v>27</v>
      </c>
      <c r="C154">
        <v>4</v>
      </c>
      <c r="D154">
        <v>163360000</v>
      </c>
      <c r="E154">
        <v>672250000</v>
      </c>
      <c r="F154">
        <v>75980000</v>
      </c>
      <c r="G154">
        <v>1889</v>
      </c>
      <c r="H154">
        <v>4.36E-2</v>
      </c>
      <c r="I154" t="b">
        <v>0</v>
      </c>
      <c r="J154">
        <v>1996</v>
      </c>
      <c r="K154" t="s">
        <v>25</v>
      </c>
      <c r="L154" t="s">
        <v>12</v>
      </c>
      <c r="M154">
        <v>4.12</v>
      </c>
      <c r="N154">
        <v>40222</v>
      </c>
      <c r="O154">
        <v>29</v>
      </c>
    </row>
    <row r="155" spans="1:15" x14ac:dyDescent="0.25">
      <c r="A155" t="s">
        <v>261</v>
      </c>
      <c r="B155" t="s">
        <v>72</v>
      </c>
      <c r="C155">
        <v>3</v>
      </c>
      <c r="D155">
        <v>259420000</v>
      </c>
      <c r="E155">
        <v>1578460000</v>
      </c>
      <c r="F155">
        <v>98810000</v>
      </c>
      <c r="G155">
        <v>1814</v>
      </c>
      <c r="H155">
        <v>6.9900000000000004E-2</v>
      </c>
      <c r="I155" t="b">
        <v>1</v>
      </c>
      <c r="J155">
        <v>2015</v>
      </c>
      <c r="K155" t="s">
        <v>25</v>
      </c>
      <c r="L155" t="s">
        <v>12</v>
      </c>
      <c r="M155">
        <v>6.08</v>
      </c>
      <c r="N155">
        <v>54471</v>
      </c>
      <c r="O155">
        <v>10</v>
      </c>
    </row>
    <row r="156" spans="1:15" x14ac:dyDescent="0.25">
      <c r="A156" t="s">
        <v>262</v>
      </c>
      <c r="B156" t="s">
        <v>14</v>
      </c>
      <c r="C156">
        <v>4</v>
      </c>
      <c r="D156">
        <v>220310000</v>
      </c>
      <c r="E156">
        <v>2743920000</v>
      </c>
      <c r="F156">
        <v>90140000</v>
      </c>
      <c r="G156">
        <v>3172</v>
      </c>
      <c r="H156">
        <v>4.6300000000000001E-2</v>
      </c>
      <c r="I156" t="b">
        <v>0</v>
      </c>
      <c r="J156">
        <v>2001</v>
      </c>
      <c r="K156" t="s">
        <v>15</v>
      </c>
      <c r="L156" t="s">
        <v>12</v>
      </c>
      <c r="M156">
        <v>12.45</v>
      </c>
      <c r="N156">
        <v>28417</v>
      </c>
      <c r="O156">
        <v>24</v>
      </c>
    </row>
    <row r="157" spans="1:15" x14ac:dyDescent="0.25">
      <c r="A157" t="s">
        <v>263</v>
      </c>
      <c r="B157" t="s">
        <v>14</v>
      </c>
      <c r="C157">
        <v>1</v>
      </c>
      <c r="D157">
        <v>156620000</v>
      </c>
      <c r="E157">
        <v>2094990000</v>
      </c>
      <c r="F157">
        <v>65200000</v>
      </c>
      <c r="G157">
        <v>3802</v>
      </c>
      <c r="H157">
        <v>1.01E-2</v>
      </c>
      <c r="I157" t="b">
        <v>0</v>
      </c>
      <c r="J157">
        <v>2020</v>
      </c>
      <c r="K157" t="s">
        <v>29</v>
      </c>
      <c r="L157" t="s">
        <v>12</v>
      </c>
      <c r="M157">
        <v>13.38</v>
      </c>
      <c r="N157">
        <v>17149</v>
      </c>
      <c r="O157">
        <v>5</v>
      </c>
    </row>
    <row r="158" spans="1:15" x14ac:dyDescent="0.25">
      <c r="A158" t="s">
        <v>47</v>
      </c>
      <c r="B158" t="s">
        <v>10</v>
      </c>
      <c r="C158">
        <v>2</v>
      </c>
      <c r="D158">
        <v>193690000</v>
      </c>
      <c r="E158">
        <v>1171960000</v>
      </c>
      <c r="F158">
        <v>22620000</v>
      </c>
      <c r="G158">
        <v>128</v>
      </c>
      <c r="H158">
        <v>5.7799999999999997E-2</v>
      </c>
      <c r="I158" t="b">
        <v>0</v>
      </c>
      <c r="J158">
        <v>2003</v>
      </c>
      <c r="K158" t="s">
        <v>15</v>
      </c>
      <c r="L158" t="s">
        <v>12</v>
      </c>
      <c r="M158">
        <v>6.05</v>
      </c>
      <c r="N158">
        <v>176719</v>
      </c>
      <c r="O158">
        <v>22</v>
      </c>
    </row>
    <row r="159" spans="1:15" x14ac:dyDescent="0.25">
      <c r="A159" t="s">
        <v>264</v>
      </c>
      <c r="B159" t="s">
        <v>72</v>
      </c>
      <c r="C159">
        <v>4</v>
      </c>
      <c r="D159">
        <v>260510000</v>
      </c>
      <c r="E159">
        <v>2683730000</v>
      </c>
      <c r="F159">
        <v>31470000</v>
      </c>
      <c r="G159">
        <v>2346</v>
      </c>
      <c r="H159">
        <v>5.5800000000000002E-2</v>
      </c>
      <c r="I159" t="b">
        <v>0</v>
      </c>
      <c r="J159">
        <v>2006</v>
      </c>
      <c r="K159" t="s">
        <v>15</v>
      </c>
      <c r="L159" t="s">
        <v>12</v>
      </c>
      <c r="M159">
        <v>10.3</v>
      </c>
      <c r="N159">
        <v>13414</v>
      </c>
      <c r="O159">
        <v>19</v>
      </c>
    </row>
    <row r="160" spans="1:15" x14ac:dyDescent="0.25">
      <c r="A160" t="s">
        <v>265</v>
      </c>
      <c r="B160" t="s">
        <v>10</v>
      </c>
      <c r="C160">
        <v>1</v>
      </c>
      <c r="D160">
        <v>73960000</v>
      </c>
      <c r="E160">
        <v>671710000</v>
      </c>
      <c r="F160">
        <v>25510000</v>
      </c>
      <c r="G160">
        <v>3419</v>
      </c>
      <c r="H160">
        <v>6.4500000000000002E-2</v>
      </c>
      <c r="I160" t="b">
        <v>0</v>
      </c>
      <c r="J160">
        <v>2022</v>
      </c>
      <c r="K160" t="s">
        <v>29</v>
      </c>
      <c r="L160" t="s">
        <v>12</v>
      </c>
      <c r="M160">
        <v>9.08</v>
      </c>
      <c r="N160">
        <v>7461</v>
      </c>
      <c r="O160">
        <v>3</v>
      </c>
    </row>
    <row r="161" spans="1:15" x14ac:dyDescent="0.25">
      <c r="A161" t="s">
        <v>266</v>
      </c>
      <c r="B161" t="s">
        <v>36</v>
      </c>
      <c r="C161">
        <v>4</v>
      </c>
      <c r="D161">
        <v>47620000</v>
      </c>
      <c r="E161">
        <v>233890000</v>
      </c>
      <c r="F161">
        <v>81940000</v>
      </c>
      <c r="G161">
        <v>822</v>
      </c>
      <c r="H161">
        <v>7.0699999999999999E-2</v>
      </c>
      <c r="I161" t="b">
        <v>0</v>
      </c>
      <c r="J161">
        <v>2000</v>
      </c>
      <c r="K161" t="s">
        <v>11</v>
      </c>
      <c r="L161" t="s">
        <v>20</v>
      </c>
      <c r="M161">
        <v>4.91</v>
      </c>
      <c r="N161">
        <v>99684</v>
      </c>
      <c r="O161">
        <v>25</v>
      </c>
    </row>
    <row r="162" spans="1:15" x14ac:dyDescent="0.25">
      <c r="A162" t="s">
        <v>267</v>
      </c>
      <c r="B162" t="s">
        <v>31</v>
      </c>
      <c r="C162">
        <v>1</v>
      </c>
      <c r="D162">
        <v>48540000</v>
      </c>
      <c r="E162">
        <v>182380000</v>
      </c>
      <c r="F162">
        <v>87990000</v>
      </c>
      <c r="G162">
        <v>2442</v>
      </c>
      <c r="H162">
        <v>3.7999999999999999E-2</v>
      </c>
      <c r="I162" t="b">
        <v>1</v>
      </c>
      <c r="J162">
        <v>2017</v>
      </c>
      <c r="K162" t="s">
        <v>29</v>
      </c>
      <c r="L162" t="s">
        <v>12</v>
      </c>
      <c r="M162">
        <v>3.76</v>
      </c>
      <c r="N162">
        <v>36032</v>
      </c>
      <c r="O162">
        <v>8</v>
      </c>
    </row>
    <row r="163" spans="1:15" x14ac:dyDescent="0.25">
      <c r="A163" t="s">
        <v>268</v>
      </c>
      <c r="B163" t="s">
        <v>14</v>
      </c>
      <c r="C163">
        <v>2</v>
      </c>
      <c r="D163">
        <v>100540000</v>
      </c>
      <c r="E163">
        <v>443560000</v>
      </c>
      <c r="F163">
        <v>52590000</v>
      </c>
      <c r="G163">
        <v>893</v>
      </c>
      <c r="H163">
        <v>5.6800000000000003E-2</v>
      </c>
      <c r="I163" t="b">
        <v>1</v>
      </c>
      <c r="J163">
        <v>2021</v>
      </c>
      <c r="K163" t="s">
        <v>11</v>
      </c>
      <c r="L163" t="s">
        <v>12</v>
      </c>
      <c r="M163">
        <v>4.41</v>
      </c>
      <c r="N163">
        <v>58891</v>
      </c>
      <c r="O163">
        <v>4</v>
      </c>
    </row>
    <row r="164" spans="1:15" x14ac:dyDescent="0.25">
      <c r="A164" t="s">
        <v>269</v>
      </c>
      <c r="B164" t="s">
        <v>27</v>
      </c>
      <c r="C164">
        <v>5</v>
      </c>
      <c r="D164">
        <v>71990000</v>
      </c>
      <c r="E164">
        <v>412380000</v>
      </c>
      <c r="F164">
        <v>24510000</v>
      </c>
      <c r="G164">
        <v>672</v>
      </c>
      <c r="H164">
        <v>4.5600000000000002E-2</v>
      </c>
      <c r="I164" t="b">
        <v>0</v>
      </c>
      <c r="J164">
        <v>1990</v>
      </c>
      <c r="K164" t="s">
        <v>11</v>
      </c>
      <c r="L164" t="s">
        <v>23</v>
      </c>
      <c r="M164">
        <v>5.73</v>
      </c>
      <c r="N164">
        <v>36473</v>
      </c>
      <c r="O164">
        <v>35</v>
      </c>
    </row>
    <row r="165" spans="1:15" x14ac:dyDescent="0.25">
      <c r="A165" t="s">
        <v>270</v>
      </c>
      <c r="B165" t="s">
        <v>31</v>
      </c>
      <c r="C165">
        <v>3</v>
      </c>
      <c r="D165">
        <v>279060000</v>
      </c>
      <c r="E165">
        <v>1981350000</v>
      </c>
      <c r="F165">
        <v>11380000</v>
      </c>
      <c r="G165">
        <v>4733</v>
      </c>
      <c r="H165">
        <v>6.7500000000000004E-2</v>
      </c>
      <c r="I165" t="b">
        <v>0</v>
      </c>
      <c r="J165">
        <v>2017</v>
      </c>
      <c r="K165" t="s">
        <v>29</v>
      </c>
      <c r="L165" t="s">
        <v>23</v>
      </c>
      <c r="M165">
        <v>7.1</v>
      </c>
      <c r="N165">
        <v>2404</v>
      </c>
      <c r="O165">
        <v>8</v>
      </c>
    </row>
    <row r="166" spans="1:15" x14ac:dyDescent="0.25">
      <c r="A166" t="s">
        <v>271</v>
      </c>
      <c r="B166" t="s">
        <v>27</v>
      </c>
      <c r="C166">
        <v>4</v>
      </c>
      <c r="D166">
        <v>32200000</v>
      </c>
      <c r="E166">
        <v>243780000</v>
      </c>
      <c r="F166">
        <v>8810000</v>
      </c>
      <c r="G166">
        <v>2629</v>
      </c>
      <c r="H166">
        <v>5.8799999999999998E-2</v>
      </c>
      <c r="I166" t="b">
        <v>0</v>
      </c>
      <c r="J166">
        <v>1996</v>
      </c>
      <c r="K166" t="s">
        <v>38</v>
      </c>
      <c r="L166" t="s">
        <v>12</v>
      </c>
      <c r="M166">
        <v>7.57</v>
      </c>
      <c r="N166">
        <v>3351</v>
      </c>
      <c r="O166">
        <v>29</v>
      </c>
    </row>
    <row r="167" spans="1:15" x14ac:dyDescent="0.25">
      <c r="A167" t="s">
        <v>272</v>
      </c>
      <c r="B167" t="s">
        <v>10</v>
      </c>
      <c r="C167">
        <v>5</v>
      </c>
      <c r="D167">
        <v>209850000</v>
      </c>
      <c r="E167">
        <v>1501660000</v>
      </c>
      <c r="F167">
        <v>71940000</v>
      </c>
      <c r="G167">
        <v>4237</v>
      </c>
      <c r="H167">
        <v>5.2999999999999999E-2</v>
      </c>
      <c r="I167" t="b">
        <v>0</v>
      </c>
      <c r="J167">
        <v>1991</v>
      </c>
      <c r="K167" t="s">
        <v>29</v>
      </c>
      <c r="L167" t="s">
        <v>12</v>
      </c>
      <c r="M167">
        <v>7.16</v>
      </c>
      <c r="N167">
        <v>16979</v>
      </c>
      <c r="O167">
        <v>34</v>
      </c>
    </row>
    <row r="168" spans="1:15" x14ac:dyDescent="0.25">
      <c r="A168" t="s">
        <v>273</v>
      </c>
      <c r="B168" t="s">
        <v>22</v>
      </c>
      <c r="C168">
        <v>3</v>
      </c>
      <c r="D168">
        <v>57170000</v>
      </c>
      <c r="E168">
        <v>335510000</v>
      </c>
      <c r="F168">
        <v>42070000</v>
      </c>
      <c r="G168">
        <v>4528</v>
      </c>
      <c r="H168">
        <v>2.5700000000000001E-2</v>
      </c>
      <c r="I168" t="b">
        <v>1</v>
      </c>
      <c r="J168">
        <v>2013</v>
      </c>
      <c r="K168" t="s">
        <v>25</v>
      </c>
      <c r="L168" t="s">
        <v>23</v>
      </c>
      <c r="M168">
        <v>5.87</v>
      </c>
      <c r="N168">
        <v>9291</v>
      </c>
      <c r="O168">
        <v>12</v>
      </c>
    </row>
    <row r="169" spans="1:15" x14ac:dyDescent="0.25">
      <c r="A169" t="s">
        <v>48</v>
      </c>
      <c r="B169" t="s">
        <v>31</v>
      </c>
      <c r="C169">
        <v>1</v>
      </c>
      <c r="D169">
        <v>126800000</v>
      </c>
      <c r="E169">
        <v>1174260000</v>
      </c>
      <c r="F169">
        <v>70320000</v>
      </c>
      <c r="G169">
        <v>3163</v>
      </c>
      <c r="H169">
        <v>4.2099999999999999E-2</v>
      </c>
      <c r="I169" t="b">
        <v>0</v>
      </c>
      <c r="J169">
        <v>2003</v>
      </c>
      <c r="K169" t="s">
        <v>38</v>
      </c>
      <c r="L169" t="s">
        <v>20</v>
      </c>
      <c r="M169">
        <v>9.26</v>
      </c>
      <c r="N169">
        <v>22232</v>
      </c>
      <c r="O169">
        <v>22</v>
      </c>
    </row>
    <row r="170" spans="1:15" x14ac:dyDescent="0.25">
      <c r="A170" t="s">
        <v>274</v>
      </c>
      <c r="B170" t="s">
        <v>31</v>
      </c>
      <c r="C170">
        <v>3</v>
      </c>
      <c r="D170">
        <v>264550000</v>
      </c>
      <c r="E170">
        <v>2411820000</v>
      </c>
      <c r="F170">
        <v>90550000</v>
      </c>
      <c r="G170">
        <v>823</v>
      </c>
      <c r="H170">
        <v>1.1999999999999999E-3</v>
      </c>
      <c r="I170" t="b">
        <v>1</v>
      </c>
      <c r="J170">
        <v>1993</v>
      </c>
      <c r="K170" t="s">
        <v>25</v>
      </c>
      <c r="L170" t="s">
        <v>12</v>
      </c>
      <c r="M170">
        <v>9.1199999999999992</v>
      </c>
      <c r="N170">
        <v>110024</v>
      </c>
      <c r="O170">
        <v>32</v>
      </c>
    </row>
    <row r="171" spans="1:15" x14ac:dyDescent="0.25">
      <c r="A171" t="s">
        <v>275</v>
      </c>
      <c r="B171" t="s">
        <v>18</v>
      </c>
      <c r="C171">
        <v>1</v>
      </c>
      <c r="D171">
        <v>288410000</v>
      </c>
      <c r="E171">
        <v>3721480000</v>
      </c>
      <c r="F171">
        <v>73990000</v>
      </c>
      <c r="G171">
        <v>2193</v>
      </c>
      <c r="H171">
        <v>1.8200000000000001E-2</v>
      </c>
      <c r="I171" t="b">
        <v>0</v>
      </c>
      <c r="J171">
        <v>2008</v>
      </c>
      <c r="K171" t="s">
        <v>38</v>
      </c>
      <c r="L171" t="s">
        <v>12</v>
      </c>
      <c r="M171">
        <v>12.9</v>
      </c>
      <c r="N171">
        <v>33739</v>
      </c>
      <c r="O171">
        <v>17</v>
      </c>
    </row>
    <row r="172" spans="1:15" x14ac:dyDescent="0.25">
      <c r="A172" t="s">
        <v>276</v>
      </c>
      <c r="B172" t="s">
        <v>14</v>
      </c>
      <c r="C172">
        <v>2</v>
      </c>
      <c r="D172">
        <v>139910000</v>
      </c>
      <c r="E172">
        <v>889330000</v>
      </c>
      <c r="F172">
        <v>19210000</v>
      </c>
      <c r="G172">
        <v>1111</v>
      </c>
      <c r="H172">
        <v>1.26E-2</v>
      </c>
      <c r="I172" t="b">
        <v>0</v>
      </c>
      <c r="J172">
        <v>2015</v>
      </c>
      <c r="K172" t="s">
        <v>11</v>
      </c>
      <c r="L172" t="s">
        <v>12</v>
      </c>
      <c r="M172">
        <v>6.36</v>
      </c>
      <c r="N172">
        <v>17291</v>
      </c>
      <c r="O172">
        <v>10</v>
      </c>
    </row>
    <row r="173" spans="1:15" x14ac:dyDescent="0.25">
      <c r="A173" t="s">
        <v>277</v>
      </c>
      <c r="B173" t="s">
        <v>31</v>
      </c>
      <c r="C173">
        <v>2</v>
      </c>
      <c r="D173">
        <v>263780000</v>
      </c>
      <c r="E173">
        <v>3774330000</v>
      </c>
      <c r="F173">
        <v>61420000</v>
      </c>
      <c r="G173">
        <v>2229</v>
      </c>
      <c r="H173">
        <v>4.5499999999999999E-2</v>
      </c>
      <c r="I173" t="b">
        <v>0</v>
      </c>
      <c r="J173">
        <v>2000</v>
      </c>
      <c r="K173" t="s">
        <v>38</v>
      </c>
      <c r="L173" t="s">
        <v>12</v>
      </c>
      <c r="M173">
        <v>14.31</v>
      </c>
      <c r="N173">
        <v>27555</v>
      </c>
      <c r="O173">
        <v>25</v>
      </c>
    </row>
    <row r="174" spans="1:15" x14ac:dyDescent="0.25">
      <c r="A174" t="s">
        <v>278</v>
      </c>
      <c r="B174" t="s">
        <v>31</v>
      </c>
      <c r="C174">
        <v>5</v>
      </c>
      <c r="D174">
        <v>2040000</v>
      </c>
      <c r="E174">
        <v>27500000</v>
      </c>
      <c r="F174">
        <v>43610000</v>
      </c>
      <c r="G174">
        <v>202</v>
      </c>
      <c r="H174">
        <v>6.1600000000000002E-2</v>
      </c>
      <c r="I174" t="b">
        <v>1</v>
      </c>
      <c r="J174">
        <v>2000</v>
      </c>
      <c r="K174" t="s">
        <v>25</v>
      </c>
      <c r="L174" t="s">
        <v>12</v>
      </c>
      <c r="M174">
        <v>13.48</v>
      </c>
      <c r="N174">
        <v>215891</v>
      </c>
      <c r="O174">
        <v>25</v>
      </c>
    </row>
    <row r="175" spans="1:15" x14ac:dyDescent="0.25">
      <c r="A175" t="s">
        <v>279</v>
      </c>
      <c r="B175" t="s">
        <v>31</v>
      </c>
      <c r="C175">
        <v>2</v>
      </c>
      <c r="D175">
        <v>246070000</v>
      </c>
      <c r="E175">
        <v>1215870000</v>
      </c>
      <c r="F175">
        <v>57770000</v>
      </c>
      <c r="G175">
        <v>2676</v>
      </c>
      <c r="H175">
        <v>2.2100000000000002E-2</v>
      </c>
      <c r="I175" t="b">
        <v>0</v>
      </c>
      <c r="J175">
        <v>1992</v>
      </c>
      <c r="K175" t="s">
        <v>38</v>
      </c>
      <c r="L175" t="s">
        <v>12</v>
      </c>
      <c r="M175">
        <v>4.9400000000000004</v>
      </c>
      <c r="N175">
        <v>21588</v>
      </c>
      <c r="O175">
        <v>33</v>
      </c>
    </row>
    <row r="176" spans="1:15" x14ac:dyDescent="0.25">
      <c r="A176" t="s">
        <v>280</v>
      </c>
      <c r="B176" t="s">
        <v>36</v>
      </c>
      <c r="C176">
        <v>4</v>
      </c>
      <c r="D176">
        <v>68970000</v>
      </c>
      <c r="E176">
        <v>857660000</v>
      </c>
      <c r="F176">
        <v>73830000</v>
      </c>
      <c r="G176">
        <v>3497</v>
      </c>
      <c r="H176">
        <v>9.4E-2</v>
      </c>
      <c r="I176" t="b">
        <v>1</v>
      </c>
      <c r="J176">
        <v>2001</v>
      </c>
      <c r="K176" t="s">
        <v>29</v>
      </c>
      <c r="L176" t="s">
        <v>12</v>
      </c>
      <c r="M176">
        <v>12.44</v>
      </c>
      <c r="N176">
        <v>21112</v>
      </c>
      <c r="O176">
        <v>24</v>
      </c>
    </row>
    <row r="177" spans="1:15" x14ac:dyDescent="0.25">
      <c r="A177" t="s">
        <v>281</v>
      </c>
      <c r="B177" t="s">
        <v>31</v>
      </c>
      <c r="C177">
        <v>2</v>
      </c>
      <c r="D177">
        <v>272660000</v>
      </c>
      <c r="E177">
        <v>2697980000</v>
      </c>
      <c r="F177">
        <v>80640000</v>
      </c>
      <c r="G177">
        <v>2453</v>
      </c>
      <c r="H177">
        <v>1.6999999999999999E-3</v>
      </c>
      <c r="I177" t="b">
        <v>1</v>
      </c>
      <c r="J177">
        <v>1992</v>
      </c>
      <c r="K177" t="s">
        <v>38</v>
      </c>
      <c r="L177" t="s">
        <v>12</v>
      </c>
      <c r="M177">
        <v>9.9</v>
      </c>
      <c r="N177">
        <v>32874</v>
      </c>
      <c r="O177">
        <v>33</v>
      </c>
    </row>
    <row r="178" spans="1:15" x14ac:dyDescent="0.25">
      <c r="A178" t="s">
        <v>282</v>
      </c>
      <c r="B178" t="s">
        <v>27</v>
      </c>
      <c r="C178">
        <v>5</v>
      </c>
      <c r="D178">
        <v>840000</v>
      </c>
      <c r="E178">
        <v>8230000</v>
      </c>
      <c r="F178">
        <v>84390000</v>
      </c>
      <c r="G178">
        <v>475</v>
      </c>
      <c r="H178">
        <v>7.7499999999999999E-2</v>
      </c>
      <c r="I178" t="b">
        <v>0</v>
      </c>
      <c r="J178">
        <v>2016</v>
      </c>
      <c r="K178" t="s">
        <v>11</v>
      </c>
      <c r="L178" t="s">
        <v>23</v>
      </c>
      <c r="M178">
        <v>9.8000000000000007</v>
      </c>
      <c r="N178">
        <v>177663</v>
      </c>
      <c r="O178">
        <v>9</v>
      </c>
    </row>
    <row r="179" spans="1:15" x14ac:dyDescent="0.25">
      <c r="A179" t="s">
        <v>283</v>
      </c>
      <c r="B179" t="s">
        <v>22</v>
      </c>
      <c r="C179">
        <v>2</v>
      </c>
      <c r="D179">
        <v>167080000</v>
      </c>
      <c r="E179">
        <v>1285270000</v>
      </c>
      <c r="F179">
        <v>25470000</v>
      </c>
      <c r="G179">
        <v>1953</v>
      </c>
      <c r="H179">
        <v>6.2899999999999998E-2</v>
      </c>
      <c r="I179" t="b">
        <v>1</v>
      </c>
      <c r="J179">
        <v>1991</v>
      </c>
      <c r="K179" t="s">
        <v>29</v>
      </c>
      <c r="L179" t="s">
        <v>12</v>
      </c>
      <c r="M179">
        <v>7.69</v>
      </c>
      <c r="N179">
        <v>13041</v>
      </c>
      <c r="O179">
        <v>34</v>
      </c>
    </row>
    <row r="180" spans="1:15" x14ac:dyDescent="0.25">
      <c r="A180" t="s">
        <v>49</v>
      </c>
      <c r="B180" t="s">
        <v>10</v>
      </c>
      <c r="C180">
        <v>3</v>
      </c>
      <c r="D180">
        <v>40120000</v>
      </c>
      <c r="E180">
        <v>285330000</v>
      </c>
      <c r="F180">
        <v>5380000</v>
      </c>
      <c r="G180">
        <v>790</v>
      </c>
      <c r="H180">
        <v>8.4900000000000003E-2</v>
      </c>
      <c r="I180" t="b">
        <v>1</v>
      </c>
      <c r="J180">
        <v>2002</v>
      </c>
      <c r="K180" t="s">
        <v>29</v>
      </c>
      <c r="L180" t="s">
        <v>20</v>
      </c>
      <c r="M180">
        <v>7.11</v>
      </c>
      <c r="N180">
        <v>6810</v>
      </c>
      <c r="O180">
        <v>23</v>
      </c>
    </row>
    <row r="181" spans="1:15" x14ac:dyDescent="0.25">
      <c r="A181" t="s">
        <v>284</v>
      </c>
      <c r="B181" t="s">
        <v>10</v>
      </c>
      <c r="C181">
        <v>4</v>
      </c>
      <c r="D181">
        <v>227110000</v>
      </c>
      <c r="E181">
        <v>2047130000</v>
      </c>
      <c r="F181">
        <v>3210000</v>
      </c>
      <c r="G181">
        <v>3904</v>
      </c>
      <c r="H181">
        <v>3.7999999999999999E-2</v>
      </c>
      <c r="I181" t="b">
        <v>0</v>
      </c>
      <c r="J181">
        <v>2005</v>
      </c>
      <c r="K181" t="s">
        <v>15</v>
      </c>
      <c r="L181" t="s">
        <v>20</v>
      </c>
      <c r="M181">
        <v>9.01</v>
      </c>
      <c r="N181">
        <v>822</v>
      </c>
      <c r="O181">
        <v>20</v>
      </c>
    </row>
    <row r="182" spans="1:15" x14ac:dyDescent="0.25">
      <c r="A182" t="s">
        <v>285</v>
      </c>
      <c r="B182" t="s">
        <v>72</v>
      </c>
      <c r="C182">
        <v>1</v>
      </c>
      <c r="D182">
        <v>77980000</v>
      </c>
      <c r="E182">
        <v>605600000</v>
      </c>
      <c r="F182">
        <v>73960000</v>
      </c>
      <c r="G182">
        <v>2015</v>
      </c>
      <c r="H182">
        <v>6.0000000000000001E-3</v>
      </c>
      <c r="I182" t="b">
        <v>1</v>
      </c>
      <c r="J182">
        <v>1991</v>
      </c>
      <c r="K182" t="s">
        <v>25</v>
      </c>
      <c r="L182" t="s">
        <v>23</v>
      </c>
      <c r="M182">
        <v>7.77</v>
      </c>
      <c r="N182">
        <v>36705</v>
      </c>
      <c r="O182">
        <v>34</v>
      </c>
    </row>
    <row r="183" spans="1:15" x14ac:dyDescent="0.25">
      <c r="A183" t="s">
        <v>286</v>
      </c>
      <c r="B183" t="s">
        <v>31</v>
      </c>
      <c r="C183">
        <v>5</v>
      </c>
      <c r="D183">
        <v>58340000</v>
      </c>
      <c r="E183">
        <v>552880000</v>
      </c>
      <c r="F183">
        <v>10720000</v>
      </c>
      <c r="G183">
        <v>3805</v>
      </c>
      <c r="H183">
        <v>6.3100000000000003E-2</v>
      </c>
      <c r="I183" t="b">
        <v>0</v>
      </c>
      <c r="J183">
        <v>2019</v>
      </c>
      <c r="K183" t="s">
        <v>25</v>
      </c>
      <c r="L183" t="s">
        <v>20</v>
      </c>
      <c r="M183">
        <v>9.48</v>
      </c>
      <c r="N183">
        <v>2817</v>
      </c>
      <c r="O183">
        <v>6</v>
      </c>
    </row>
    <row r="184" spans="1:15" x14ac:dyDescent="0.25">
      <c r="A184" t="s">
        <v>287</v>
      </c>
      <c r="B184" t="s">
        <v>14</v>
      </c>
      <c r="C184">
        <v>1</v>
      </c>
      <c r="D184">
        <v>25690000</v>
      </c>
      <c r="E184">
        <v>270650000</v>
      </c>
      <c r="F184">
        <v>31560000</v>
      </c>
      <c r="G184">
        <v>4123</v>
      </c>
      <c r="H184">
        <v>3.9199999999999999E-2</v>
      </c>
      <c r="I184" t="b">
        <v>0</v>
      </c>
      <c r="J184">
        <v>2009</v>
      </c>
      <c r="K184" t="s">
        <v>38</v>
      </c>
      <c r="L184" t="s">
        <v>20</v>
      </c>
      <c r="M184">
        <v>10.54</v>
      </c>
      <c r="N184">
        <v>7655</v>
      </c>
      <c r="O184">
        <v>16</v>
      </c>
    </row>
    <row r="185" spans="1:15" x14ac:dyDescent="0.25">
      <c r="A185" t="s">
        <v>288</v>
      </c>
      <c r="B185" t="s">
        <v>31</v>
      </c>
      <c r="C185">
        <v>1</v>
      </c>
      <c r="D185">
        <v>98270000</v>
      </c>
      <c r="E185">
        <v>1089980000</v>
      </c>
      <c r="F185">
        <v>480000</v>
      </c>
      <c r="G185">
        <v>3801</v>
      </c>
      <c r="H185">
        <v>9.3700000000000006E-2</v>
      </c>
      <c r="I185" t="b">
        <v>1</v>
      </c>
      <c r="J185">
        <v>2017</v>
      </c>
      <c r="K185" t="s">
        <v>29</v>
      </c>
      <c r="L185" t="s">
        <v>12</v>
      </c>
      <c r="M185">
        <v>11.09</v>
      </c>
      <c r="N185">
        <v>126</v>
      </c>
      <c r="O185">
        <v>8</v>
      </c>
    </row>
    <row r="186" spans="1:15" x14ac:dyDescent="0.25">
      <c r="A186" t="s">
        <v>289</v>
      </c>
      <c r="B186" t="s">
        <v>14</v>
      </c>
      <c r="C186">
        <v>1</v>
      </c>
      <c r="D186">
        <v>168170000</v>
      </c>
      <c r="E186">
        <v>1579080000</v>
      </c>
      <c r="F186">
        <v>68200000</v>
      </c>
      <c r="G186">
        <v>3993</v>
      </c>
      <c r="H186">
        <v>5.4699999999999999E-2</v>
      </c>
      <c r="I186" t="b">
        <v>1</v>
      </c>
      <c r="J186">
        <v>2014</v>
      </c>
      <c r="K186" t="s">
        <v>15</v>
      </c>
      <c r="L186" t="s">
        <v>23</v>
      </c>
      <c r="M186">
        <v>9.39</v>
      </c>
      <c r="N186">
        <v>17080</v>
      </c>
      <c r="O186">
        <v>11</v>
      </c>
    </row>
    <row r="187" spans="1:15" x14ac:dyDescent="0.25">
      <c r="A187" t="s">
        <v>290</v>
      </c>
      <c r="B187" t="s">
        <v>27</v>
      </c>
      <c r="C187">
        <v>3</v>
      </c>
      <c r="D187">
        <v>35200000</v>
      </c>
      <c r="E187">
        <v>410330000</v>
      </c>
      <c r="F187">
        <v>16800000</v>
      </c>
      <c r="G187">
        <v>239</v>
      </c>
      <c r="H187">
        <v>9.4E-2</v>
      </c>
      <c r="I187" t="b">
        <v>1</v>
      </c>
      <c r="J187">
        <v>2021</v>
      </c>
      <c r="K187" t="s">
        <v>29</v>
      </c>
      <c r="L187" t="s">
        <v>12</v>
      </c>
      <c r="M187">
        <v>11.66</v>
      </c>
      <c r="N187">
        <v>70293</v>
      </c>
      <c r="O187">
        <v>4</v>
      </c>
    </row>
    <row r="188" spans="1:15" x14ac:dyDescent="0.25">
      <c r="A188" t="s">
        <v>291</v>
      </c>
      <c r="B188" t="s">
        <v>14</v>
      </c>
      <c r="C188">
        <v>3</v>
      </c>
      <c r="D188">
        <v>113320000</v>
      </c>
      <c r="E188">
        <v>532080000</v>
      </c>
      <c r="F188">
        <v>65560000</v>
      </c>
      <c r="G188">
        <v>933</v>
      </c>
      <c r="H188">
        <v>2.2800000000000001E-2</v>
      </c>
      <c r="I188" t="b">
        <v>0</v>
      </c>
      <c r="J188">
        <v>1999</v>
      </c>
      <c r="K188" t="s">
        <v>25</v>
      </c>
      <c r="L188" t="s">
        <v>12</v>
      </c>
      <c r="M188">
        <v>4.7</v>
      </c>
      <c r="N188">
        <v>70268</v>
      </c>
      <c r="O188">
        <v>26</v>
      </c>
    </row>
    <row r="189" spans="1:15" x14ac:dyDescent="0.25">
      <c r="A189" t="s">
        <v>292</v>
      </c>
      <c r="B189" t="s">
        <v>18</v>
      </c>
      <c r="C189">
        <v>1</v>
      </c>
      <c r="D189">
        <v>3220000</v>
      </c>
      <c r="E189">
        <v>17850000</v>
      </c>
      <c r="F189">
        <v>99180000</v>
      </c>
      <c r="G189">
        <v>3612</v>
      </c>
      <c r="H189">
        <v>7.2800000000000004E-2</v>
      </c>
      <c r="I189" t="b">
        <v>1</v>
      </c>
      <c r="J189">
        <v>2022</v>
      </c>
      <c r="K189" t="s">
        <v>29</v>
      </c>
      <c r="L189" t="s">
        <v>12</v>
      </c>
      <c r="M189">
        <v>5.54</v>
      </c>
      <c r="N189">
        <v>27458</v>
      </c>
      <c r="O189">
        <v>3</v>
      </c>
    </row>
    <row r="190" spans="1:15" x14ac:dyDescent="0.25">
      <c r="A190" t="s">
        <v>293</v>
      </c>
      <c r="B190" t="s">
        <v>72</v>
      </c>
      <c r="C190">
        <v>5</v>
      </c>
      <c r="D190">
        <v>245690000</v>
      </c>
      <c r="E190">
        <v>3150930000</v>
      </c>
      <c r="F190">
        <v>7360000</v>
      </c>
      <c r="G190">
        <v>527</v>
      </c>
      <c r="H190">
        <v>6.2100000000000002E-2</v>
      </c>
      <c r="I190" t="b">
        <v>0</v>
      </c>
      <c r="J190">
        <v>2002</v>
      </c>
      <c r="K190" t="s">
        <v>15</v>
      </c>
      <c r="L190" t="s">
        <v>20</v>
      </c>
      <c r="M190">
        <v>12.82</v>
      </c>
      <c r="N190">
        <v>13966</v>
      </c>
      <c r="O190">
        <v>23</v>
      </c>
    </row>
    <row r="191" spans="1:15" x14ac:dyDescent="0.25">
      <c r="A191" t="s">
        <v>50</v>
      </c>
      <c r="B191" t="s">
        <v>27</v>
      </c>
      <c r="C191">
        <v>5</v>
      </c>
      <c r="D191">
        <v>270220000</v>
      </c>
      <c r="E191">
        <v>2536540000</v>
      </c>
      <c r="F191">
        <v>48710000</v>
      </c>
      <c r="G191">
        <v>2421</v>
      </c>
      <c r="H191">
        <v>9.0300000000000005E-2</v>
      </c>
      <c r="I191" t="b">
        <v>1</v>
      </c>
      <c r="J191">
        <v>1996</v>
      </c>
      <c r="K191" t="s">
        <v>25</v>
      </c>
      <c r="L191" t="s">
        <v>12</v>
      </c>
      <c r="M191">
        <v>9.39</v>
      </c>
      <c r="N191">
        <v>20120</v>
      </c>
      <c r="O191">
        <v>29</v>
      </c>
    </row>
    <row r="192" spans="1:15" x14ac:dyDescent="0.25">
      <c r="A192" t="s">
        <v>294</v>
      </c>
      <c r="B192" t="s">
        <v>22</v>
      </c>
      <c r="C192">
        <v>4</v>
      </c>
      <c r="D192">
        <v>38970000</v>
      </c>
      <c r="E192">
        <v>267740000</v>
      </c>
      <c r="F192">
        <v>7800000</v>
      </c>
      <c r="G192">
        <v>3528</v>
      </c>
      <c r="H192">
        <v>7.4200000000000002E-2</v>
      </c>
      <c r="I192" t="b">
        <v>1</v>
      </c>
      <c r="J192">
        <v>2005</v>
      </c>
      <c r="K192" t="s">
        <v>38</v>
      </c>
      <c r="L192" t="s">
        <v>12</v>
      </c>
      <c r="M192">
        <v>6.87</v>
      </c>
      <c r="N192">
        <v>2211</v>
      </c>
      <c r="O192">
        <v>20</v>
      </c>
    </row>
    <row r="193" spans="1:15" x14ac:dyDescent="0.25">
      <c r="A193" t="s">
        <v>295</v>
      </c>
      <c r="B193" t="s">
        <v>14</v>
      </c>
      <c r="C193">
        <v>4</v>
      </c>
      <c r="D193">
        <v>85360000</v>
      </c>
      <c r="E193">
        <v>279530000</v>
      </c>
      <c r="F193">
        <v>34100000</v>
      </c>
      <c r="G193">
        <v>4531</v>
      </c>
      <c r="H193">
        <v>2.23E-2</v>
      </c>
      <c r="I193" t="b">
        <v>0</v>
      </c>
      <c r="J193">
        <v>2011</v>
      </c>
      <c r="K193" t="s">
        <v>11</v>
      </c>
      <c r="L193" t="s">
        <v>12</v>
      </c>
      <c r="M193">
        <v>3.27</v>
      </c>
      <c r="N193">
        <v>7526</v>
      </c>
      <c r="O193">
        <v>14</v>
      </c>
    </row>
    <row r="194" spans="1:15" x14ac:dyDescent="0.25">
      <c r="A194" t="s">
        <v>296</v>
      </c>
      <c r="B194" t="s">
        <v>14</v>
      </c>
      <c r="C194">
        <v>2</v>
      </c>
      <c r="D194">
        <v>6020000</v>
      </c>
      <c r="E194">
        <v>29170000</v>
      </c>
      <c r="F194">
        <v>86650000</v>
      </c>
      <c r="G194">
        <v>4893</v>
      </c>
      <c r="H194">
        <v>6.6799999999999998E-2</v>
      </c>
      <c r="I194" t="b">
        <v>1</v>
      </c>
      <c r="J194">
        <v>2009</v>
      </c>
      <c r="K194" t="s">
        <v>29</v>
      </c>
      <c r="L194" t="s">
        <v>12</v>
      </c>
      <c r="M194">
        <v>4.8499999999999996</v>
      </c>
      <c r="N194">
        <v>17709</v>
      </c>
      <c r="O194">
        <v>16</v>
      </c>
    </row>
    <row r="195" spans="1:15" x14ac:dyDescent="0.25">
      <c r="A195" t="s">
        <v>297</v>
      </c>
      <c r="B195" t="s">
        <v>22</v>
      </c>
      <c r="C195">
        <v>5</v>
      </c>
      <c r="D195">
        <v>129960000</v>
      </c>
      <c r="E195">
        <v>738610000</v>
      </c>
      <c r="F195">
        <v>21630000</v>
      </c>
      <c r="G195">
        <v>1634</v>
      </c>
      <c r="H195">
        <v>5.0299999999999997E-2</v>
      </c>
      <c r="I195" t="b">
        <v>1</v>
      </c>
      <c r="J195">
        <v>2016</v>
      </c>
      <c r="K195" t="s">
        <v>11</v>
      </c>
      <c r="L195" t="s">
        <v>12</v>
      </c>
      <c r="M195">
        <v>5.68</v>
      </c>
      <c r="N195">
        <v>13237</v>
      </c>
      <c r="O195">
        <v>9</v>
      </c>
    </row>
    <row r="196" spans="1:15" x14ac:dyDescent="0.25">
      <c r="A196" t="s">
        <v>298</v>
      </c>
      <c r="B196" t="s">
        <v>72</v>
      </c>
      <c r="C196">
        <v>3</v>
      </c>
      <c r="D196">
        <v>252120000</v>
      </c>
      <c r="E196">
        <v>3652680000</v>
      </c>
      <c r="F196">
        <v>36100000</v>
      </c>
      <c r="G196">
        <v>4633</v>
      </c>
      <c r="H196">
        <v>7.4499999999999997E-2</v>
      </c>
      <c r="I196" t="b">
        <v>1</v>
      </c>
      <c r="J196">
        <v>2005</v>
      </c>
      <c r="K196" t="s">
        <v>25</v>
      </c>
      <c r="L196" t="s">
        <v>12</v>
      </c>
      <c r="M196">
        <v>14.49</v>
      </c>
      <c r="N196">
        <v>7792</v>
      </c>
      <c r="O196">
        <v>20</v>
      </c>
    </row>
    <row r="197" spans="1:15" x14ac:dyDescent="0.25">
      <c r="A197" t="s">
        <v>299</v>
      </c>
      <c r="B197" t="s">
        <v>31</v>
      </c>
      <c r="C197">
        <v>1</v>
      </c>
      <c r="D197">
        <v>117950000</v>
      </c>
      <c r="E197">
        <v>1164930000</v>
      </c>
      <c r="F197">
        <v>6940000</v>
      </c>
      <c r="G197">
        <v>1321</v>
      </c>
      <c r="H197">
        <v>3.3399999999999999E-2</v>
      </c>
      <c r="I197" t="b">
        <v>0</v>
      </c>
      <c r="J197">
        <v>2021</v>
      </c>
      <c r="K197" t="s">
        <v>38</v>
      </c>
      <c r="L197" t="s">
        <v>12</v>
      </c>
      <c r="M197">
        <v>9.8800000000000008</v>
      </c>
      <c r="N197">
        <v>5254</v>
      </c>
      <c r="O197">
        <v>4</v>
      </c>
    </row>
    <row r="198" spans="1:15" x14ac:dyDescent="0.25">
      <c r="A198" t="s">
        <v>300</v>
      </c>
      <c r="B198" t="s">
        <v>14</v>
      </c>
      <c r="C198">
        <v>2</v>
      </c>
      <c r="D198">
        <v>54260000</v>
      </c>
      <c r="E198">
        <v>770100000</v>
      </c>
      <c r="F198">
        <v>76340000</v>
      </c>
      <c r="G198">
        <v>2862</v>
      </c>
      <c r="H198">
        <v>8.9099999999999999E-2</v>
      </c>
      <c r="I198" t="b">
        <v>0</v>
      </c>
      <c r="J198">
        <v>2015</v>
      </c>
      <c r="K198" t="s">
        <v>38</v>
      </c>
      <c r="L198" t="s">
        <v>12</v>
      </c>
      <c r="M198">
        <v>14.19</v>
      </c>
      <c r="N198">
        <v>26674</v>
      </c>
      <c r="O198">
        <v>10</v>
      </c>
    </row>
    <row r="199" spans="1:15" x14ac:dyDescent="0.25">
      <c r="A199" t="s">
        <v>301</v>
      </c>
      <c r="B199" t="s">
        <v>22</v>
      </c>
      <c r="C199">
        <v>4</v>
      </c>
      <c r="D199">
        <v>226230000</v>
      </c>
      <c r="E199">
        <v>2240120000</v>
      </c>
      <c r="F199">
        <v>40890000</v>
      </c>
      <c r="G199">
        <v>1129</v>
      </c>
      <c r="H199">
        <v>9.2999999999999992E-3</v>
      </c>
      <c r="I199" t="b">
        <v>1</v>
      </c>
      <c r="J199">
        <v>2014</v>
      </c>
      <c r="K199" t="s">
        <v>29</v>
      </c>
      <c r="L199" t="s">
        <v>12</v>
      </c>
      <c r="M199">
        <v>9.9</v>
      </c>
      <c r="N199">
        <v>36218</v>
      </c>
      <c r="O199">
        <v>11</v>
      </c>
    </row>
    <row r="200" spans="1:15" x14ac:dyDescent="0.25">
      <c r="A200" t="s">
        <v>302</v>
      </c>
      <c r="B200" t="s">
        <v>18</v>
      </c>
      <c r="C200">
        <v>3</v>
      </c>
      <c r="D200">
        <v>236750000</v>
      </c>
      <c r="E200">
        <v>2072100000</v>
      </c>
      <c r="F200">
        <v>75950000</v>
      </c>
      <c r="G200">
        <v>2592</v>
      </c>
      <c r="H200">
        <v>8.09E-2</v>
      </c>
      <c r="I200" t="b">
        <v>0</v>
      </c>
      <c r="J200">
        <v>1991</v>
      </c>
      <c r="K200" t="s">
        <v>38</v>
      </c>
      <c r="L200" t="s">
        <v>20</v>
      </c>
      <c r="M200">
        <v>8.75</v>
      </c>
      <c r="N200">
        <v>29302</v>
      </c>
      <c r="O200">
        <v>34</v>
      </c>
    </row>
    <row r="201" spans="1:15" x14ac:dyDescent="0.25">
      <c r="A201" t="s">
        <v>303</v>
      </c>
      <c r="B201" t="s">
        <v>18</v>
      </c>
      <c r="C201">
        <v>3</v>
      </c>
      <c r="D201">
        <v>52540000</v>
      </c>
      <c r="E201">
        <v>355420000</v>
      </c>
      <c r="F201">
        <v>90370000</v>
      </c>
      <c r="G201">
        <v>1028</v>
      </c>
      <c r="H201">
        <v>8.6300000000000002E-2</v>
      </c>
      <c r="I201" t="b">
        <v>1</v>
      </c>
      <c r="J201">
        <v>2001</v>
      </c>
      <c r="K201" t="s">
        <v>29</v>
      </c>
      <c r="L201" t="s">
        <v>12</v>
      </c>
      <c r="M201">
        <v>6.76</v>
      </c>
      <c r="N201">
        <v>87909</v>
      </c>
      <c r="O201">
        <v>24</v>
      </c>
    </row>
    <row r="202" spans="1:15" x14ac:dyDescent="0.25">
      <c r="A202" t="s">
        <v>51</v>
      </c>
      <c r="B202" t="s">
        <v>31</v>
      </c>
      <c r="C202">
        <v>2</v>
      </c>
      <c r="D202">
        <v>207520000</v>
      </c>
      <c r="E202">
        <v>935690000</v>
      </c>
      <c r="F202">
        <v>59980000</v>
      </c>
      <c r="G202">
        <v>801</v>
      </c>
      <c r="H202">
        <v>8.7900000000000006E-2</v>
      </c>
      <c r="I202" t="b">
        <v>1</v>
      </c>
      <c r="J202">
        <v>2004</v>
      </c>
      <c r="K202" t="s">
        <v>15</v>
      </c>
      <c r="L202" t="s">
        <v>23</v>
      </c>
      <c r="M202">
        <v>4.51</v>
      </c>
      <c r="N202">
        <v>74881</v>
      </c>
      <c r="O202">
        <v>21</v>
      </c>
    </row>
    <row r="203" spans="1:15" x14ac:dyDescent="0.25">
      <c r="A203" t="s">
        <v>304</v>
      </c>
      <c r="B203" t="s">
        <v>27</v>
      </c>
      <c r="C203">
        <v>1</v>
      </c>
      <c r="D203">
        <v>231370000</v>
      </c>
      <c r="E203">
        <v>2377660000</v>
      </c>
      <c r="F203">
        <v>23350000</v>
      </c>
      <c r="G203">
        <v>1383</v>
      </c>
      <c r="H203">
        <v>8.1900000000000001E-2</v>
      </c>
      <c r="I203" t="b">
        <v>0</v>
      </c>
      <c r="J203">
        <v>1998</v>
      </c>
      <c r="K203" t="s">
        <v>29</v>
      </c>
      <c r="L203" t="s">
        <v>20</v>
      </c>
      <c r="M203">
        <v>10.28</v>
      </c>
      <c r="N203">
        <v>16884</v>
      </c>
      <c r="O203">
        <v>27</v>
      </c>
    </row>
    <row r="204" spans="1:15" x14ac:dyDescent="0.25">
      <c r="A204" t="s">
        <v>305</v>
      </c>
      <c r="B204" t="s">
        <v>22</v>
      </c>
      <c r="C204">
        <v>4</v>
      </c>
      <c r="D204">
        <v>284220000</v>
      </c>
      <c r="E204">
        <v>1327410000</v>
      </c>
      <c r="F204">
        <v>80760000</v>
      </c>
      <c r="G204">
        <v>3379</v>
      </c>
      <c r="H204">
        <v>5.1799999999999999E-2</v>
      </c>
      <c r="I204" t="b">
        <v>0</v>
      </c>
      <c r="J204">
        <v>2001</v>
      </c>
      <c r="K204" t="s">
        <v>11</v>
      </c>
      <c r="L204" t="s">
        <v>12</v>
      </c>
      <c r="M204">
        <v>4.67</v>
      </c>
      <c r="N204">
        <v>23901</v>
      </c>
      <c r="O204">
        <v>24</v>
      </c>
    </row>
    <row r="205" spans="1:15" x14ac:dyDescent="0.25">
      <c r="A205" t="s">
        <v>306</v>
      </c>
      <c r="B205" t="s">
        <v>27</v>
      </c>
      <c r="C205">
        <v>5</v>
      </c>
      <c r="D205">
        <v>50330000</v>
      </c>
      <c r="E205">
        <v>693500000</v>
      </c>
      <c r="F205">
        <v>6000000</v>
      </c>
      <c r="G205">
        <v>1524</v>
      </c>
      <c r="H205">
        <v>4.4400000000000002E-2</v>
      </c>
      <c r="I205" t="b">
        <v>1</v>
      </c>
      <c r="J205">
        <v>2015</v>
      </c>
      <c r="K205" t="s">
        <v>38</v>
      </c>
      <c r="L205" t="s">
        <v>12</v>
      </c>
      <c r="M205">
        <v>13.78</v>
      </c>
      <c r="N205">
        <v>3937</v>
      </c>
      <c r="O205">
        <v>10</v>
      </c>
    </row>
    <row r="206" spans="1:15" x14ac:dyDescent="0.25">
      <c r="A206" t="s">
        <v>307</v>
      </c>
      <c r="B206" t="s">
        <v>18</v>
      </c>
      <c r="C206">
        <v>3</v>
      </c>
      <c r="D206">
        <v>231410000</v>
      </c>
      <c r="E206">
        <v>2997220000</v>
      </c>
      <c r="F206">
        <v>89890000</v>
      </c>
      <c r="G206">
        <v>231</v>
      </c>
      <c r="H206">
        <v>9.9599999999999994E-2</v>
      </c>
      <c r="I206" t="b">
        <v>1</v>
      </c>
      <c r="J206">
        <v>1998</v>
      </c>
      <c r="K206" t="s">
        <v>29</v>
      </c>
      <c r="L206" t="s">
        <v>12</v>
      </c>
      <c r="M206">
        <v>12.95</v>
      </c>
      <c r="N206">
        <v>389134</v>
      </c>
      <c r="O206">
        <v>27</v>
      </c>
    </row>
    <row r="207" spans="1:15" x14ac:dyDescent="0.25">
      <c r="A207" t="s">
        <v>308</v>
      </c>
      <c r="B207" t="s">
        <v>72</v>
      </c>
      <c r="C207">
        <v>1</v>
      </c>
      <c r="D207">
        <v>212720000</v>
      </c>
      <c r="E207">
        <v>1448700000</v>
      </c>
      <c r="F207">
        <v>65110000</v>
      </c>
      <c r="G207">
        <v>4973</v>
      </c>
      <c r="H207">
        <v>2.3699999999999999E-2</v>
      </c>
      <c r="I207" t="b">
        <v>0</v>
      </c>
      <c r="J207">
        <v>1999</v>
      </c>
      <c r="K207" t="s">
        <v>11</v>
      </c>
      <c r="L207" t="s">
        <v>12</v>
      </c>
      <c r="M207">
        <v>6.81</v>
      </c>
      <c r="N207">
        <v>13093</v>
      </c>
      <c r="O207">
        <v>26</v>
      </c>
    </row>
    <row r="208" spans="1:15" x14ac:dyDescent="0.25">
      <c r="A208" t="s">
        <v>309</v>
      </c>
      <c r="B208" t="s">
        <v>31</v>
      </c>
      <c r="C208">
        <v>5</v>
      </c>
      <c r="D208">
        <v>142340000</v>
      </c>
      <c r="E208">
        <v>2054470000</v>
      </c>
      <c r="F208">
        <v>87440000</v>
      </c>
      <c r="G208">
        <v>896</v>
      </c>
      <c r="H208">
        <v>5.5100000000000003E-2</v>
      </c>
      <c r="I208" t="b">
        <v>0</v>
      </c>
      <c r="J208">
        <v>2021</v>
      </c>
      <c r="K208" t="s">
        <v>15</v>
      </c>
      <c r="L208" t="s">
        <v>12</v>
      </c>
      <c r="M208">
        <v>14.43</v>
      </c>
      <c r="N208">
        <v>97589</v>
      </c>
      <c r="O208">
        <v>4</v>
      </c>
    </row>
    <row r="209" spans="1:15" x14ac:dyDescent="0.25">
      <c r="A209" t="s">
        <v>310</v>
      </c>
      <c r="B209" t="s">
        <v>22</v>
      </c>
      <c r="C209">
        <v>4</v>
      </c>
      <c r="D209">
        <v>17850000</v>
      </c>
      <c r="E209">
        <v>230310000</v>
      </c>
      <c r="F209">
        <v>120000</v>
      </c>
      <c r="G209">
        <v>4077</v>
      </c>
      <c r="H209">
        <v>6.7400000000000002E-2</v>
      </c>
      <c r="I209" t="b">
        <v>0</v>
      </c>
      <c r="J209">
        <v>2009</v>
      </c>
      <c r="K209" t="s">
        <v>11</v>
      </c>
      <c r="L209" t="s">
        <v>12</v>
      </c>
      <c r="M209">
        <v>12.9</v>
      </c>
      <c r="N209">
        <v>29</v>
      </c>
      <c r="O209">
        <v>16</v>
      </c>
    </row>
    <row r="210" spans="1:15" x14ac:dyDescent="0.25">
      <c r="A210" t="s">
        <v>311</v>
      </c>
      <c r="B210" t="s">
        <v>10</v>
      </c>
      <c r="C210">
        <v>3</v>
      </c>
      <c r="D210">
        <v>22870000</v>
      </c>
      <c r="E210">
        <v>251470000</v>
      </c>
      <c r="F210">
        <v>16990000</v>
      </c>
      <c r="G210">
        <v>2262</v>
      </c>
      <c r="H210">
        <v>7.0400000000000004E-2</v>
      </c>
      <c r="I210" t="b">
        <v>1</v>
      </c>
      <c r="J210">
        <v>1991</v>
      </c>
      <c r="K210" t="s">
        <v>11</v>
      </c>
      <c r="L210" t="s">
        <v>12</v>
      </c>
      <c r="M210">
        <v>11</v>
      </c>
      <c r="N210">
        <v>7511</v>
      </c>
      <c r="O210">
        <v>34</v>
      </c>
    </row>
    <row r="211" spans="1:15" x14ac:dyDescent="0.25">
      <c r="A211" t="s">
        <v>312</v>
      </c>
      <c r="B211" t="s">
        <v>18</v>
      </c>
      <c r="C211">
        <v>5</v>
      </c>
      <c r="D211">
        <v>255800000</v>
      </c>
      <c r="E211">
        <v>1141160000</v>
      </c>
      <c r="F211">
        <v>39040000</v>
      </c>
      <c r="G211">
        <v>2793</v>
      </c>
      <c r="H211">
        <v>2.12E-2</v>
      </c>
      <c r="I211" t="b">
        <v>0</v>
      </c>
      <c r="J211">
        <v>1990</v>
      </c>
      <c r="K211" t="s">
        <v>29</v>
      </c>
      <c r="L211" t="s">
        <v>12</v>
      </c>
      <c r="M211">
        <v>4.46</v>
      </c>
      <c r="N211">
        <v>13978</v>
      </c>
      <c r="O211">
        <v>35</v>
      </c>
    </row>
    <row r="212" spans="1:15" x14ac:dyDescent="0.25">
      <c r="A212" t="s">
        <v>313</v>
      </c>
      <c r="B212" t="s">
        <v>18</v>
      </c>
      <c r="C212">
        <v>5</v>
      </c>
      <c r="D212">
        <v>297050000</v>
      </c>
      <c r="E212">
        <v>2595860000</v>
      </c>
      <c r="F212">
        <v>38010000</v>
      </c>
      <c r="G212">
        <v>401</v>
      </c>
      <c r="H212">
        <v>6.5699999999999995E-2</v>
      </c>
      <c r="I212" t="b">
        <v>1</v>
      </c>
      <c r="J212">
        <v>2013</v>
      </c>
      <c r="K212" t="s">
        <v>25</v>
      </c>
      <c r="L212" t="s">
        <v>20</v>
      </c>
      <c r="M212">
        <v>8.74</v>
      </c>
      <c r="N212">
        <v>94788</v>
      </c>
      <c r="O212">
        <v>12</v>
      </c>
    </row>
    <row r="213" spans="1:15" x14ac:dyDescent="0.25">
      <c r="A213" t="s">
        <v>52</v>
      </c>
      <c r="B213" t="s">
        <v>31</v>
      </c>
      <c r="C213">
        <v>1</v>
      </c>
      <c r="D213">
        <v>205110000</v>
      </c>
      <c r="E213">
        <v>941980000</v>
      </c>
      <c r="F213">
        <v>60250000</v>
      </c>
      <c r="G213">
        <v>4177</v>
      </c>
      <c r="H213">
        <v>9.7500000000000003E-2</v>
      </c>
      <c r="I213" t="b">
        <v>1</v>
      </c>
      <c r="J213">
        <v>2008</v>
      </c>
      <c r="K213" t="s">
        <v>25</v>
      </c>
      <c r="L213" t="s">
        <v>20</v>
      </c>
      <c r="M213">
        <v>4.59</v>
      </c>
      <c r="N213">
        <v>14424</v>
      </c>
      <c r="O213">
        <v>17</v>
      </c>
    </row>
    <row r="214" spans="1:15" x14ac:dyDescent="0.25">
      <c r="A214" t="s">
        <v>314</v>
      </c>
      <c r="B214" t="s">
        <v>10</v>
      </c>
      <c r="C214">
        <v>5</v>
      </c>
      <c r="D214">
        <v>202980000</v>
      </c>
      <c r="E214">
        <v>1841700000</v>
      </c>
      <c r="F214">
        <v>22750000</v>
      </c>
      <c r="G214">
        <v>2083</v>
      </c>
      <c r="H214">
        <v>8.2000000000000003E-2</v>
      </c>
      <c r="I214" t="b">
        <v>1</v>
      </c>
      <c r="J214">
        <v>2016</v>
      </c>
      <c r="K214" t="s">
        <v>25</v>
      </c>
      <c r="L214" t="s">
        <v>12</v>
      </c>
      <c r="M214">
        <v>9.07</v>
      </c>
      <c r="N214">
        <v>10922</v>
      </c>
      <c r="O214">
        <v>9</v>
      </c>
    </row>
    <row r="215" spans="1:15" x14ac:dyDescent="0.25">
      <c r="A215" t="s">
        <v>315</v>
      </c>
      <c r="B215" t="s">
        <v>36</v>
      </c>
      <c r="C215">
        <v>3</v>
      </c>
      <c r="D215">
        <v>134060000</v>
      </c>
      <c r="E215">
        <v>776290000</v>
      </c>
      <c r="F215">
        <v>38220000</v>
      </c>
      <c r="G215">
        <v>4749</v>
      </c>
      <c r="H215">
        <v>6.0000000000000001E-3</v>
      </c>
      <c r="I215" t="b">
        <v>0</v>
      </c>
      <c r="J215">
        <v>1991</v>
      </c>
      <c r="K215" t="s">
        <v>25</v>
      </c>
      <c r="L215" t="s">
        <v>12</v>
      </c>
      <c r="M215">
        <v>5.79</v>
      </c>
      <c r="N215">
        <v>8048</v>
      </c>
      <c r="O215">
        <v>34</v>
      </c>
    </row>
    <row r="216" spans="1:15" x14ac:dyDescent="0.25">
      <c r="A216" t="s">
        <v>316</v>
      </c>
      <c r="B216" t="s">
        <v>18</v>
      </c>
      <c r="C216">
        <v>3</v>
      </c>
      <c r="D216">
        <v>194450000</v>
      </c>
      <c r="E216">
        <v>769940000</v>
      </c>
      <c r="F216">
        <v>12970000</v>
      </c>
      <c r="G216">
        <v>4429</v>
      </c>
      <c r="H216">
        <v>9.1200000000000003E-2</v>
      </c>
      <c r="I216" t="b">
        <v>1</v>
      </c>
      <c r="J216">
        <v>2020</v>
      </c>
      <c r="K216" t="s">
        <v>11</v>
      </c>
      <c r="L216" t="s">
        <v>20</v>
      </c>
      <c r="M216">
        <v>3.96</v>
      </c>
      <c r="N216">
        <v>2928</v>
      </c>
      <c r="O216">
        <v>5</v>
      </c>
    </row>
    <row r="217" spans="1:15" x14ac:dyDescent="0.25">
      <c r="A217" t="s">
        <v>317</v>
      </c>
      <c r="B217" t="s">
        <v>14</v>
      </c>
      <c r="C217">
        <v>2</v>
      </c>
      <c r="D217">
        <v>178520000</v>
      </c>
      <c r="E217">
        <v>2199490000</v>
      </c>
      <c r="F217">
        <v>41330000</v>
      </c>
      <c r="G217">
        <v>3242</v>
      </c>
      <c r="H217">
        <v>3.8999999999999998E-3</v>
      </c>
      <c r="I217" t="b">
        <v>0</v>
      </c>
      <c r="J217">
        <v>2003</v>
      </c>
      <c r="K217" t="s">
        <v>29</v>
      </c>
      <c r="L217" t="s">
        <v>12</v>
      </c>
      <c r="M217">
        <v>12.32</v>
      </c>
      <c r="N217">
        <v>12748</v>
      </c>
      <c r="O217">
        <v>22</v>
      </c>
    </row>
    <row r="218" spans="1:15" x14ac:dyDescent="0.25">
      <c r="A218" t="s">
        <v>318</v>
      </c>
      <c r="B218" t="s">
        <v>72</v>
      </c>
      <c r="C218">
        <v>4</v>
      </c>
      <c r="D218">
        <v>115390000</v>
      </c>
      <c r="E218">
        <v>515150000</v>
      </c>
      <c r="F218">
        <v>80260000</v>
      </c>
      <c r="G218">
        <v>3898</v>
      </c>
      <c r="H218">
        <v>3.6200000000000003E-2</v>
      </c>
      <c r="I218" t="b">
        <v>0</v>
      </c>
      <c r="J218">
        <v>1991</v>
      </c>
      <c r="K218" t="s">
        <v>38</v>
      </c>
      <c r="L218" t="s">
        <v>20</v>
      </c>
      <c r="M218">
        <v>4.46</v>
      </c>
      <c r="N218">
        <v>20590</v>
      </c>
      <c r="O218">
        <v>34</v>
      </c>
    </row>
    <row r="219" spans="1:15" x14ac:dyDescent="0.25">
      <c r="A219" t="s">
        <v>319</v>
      </c>
      <c r="B219" t="s">
        <v>22</v>
      </c>
      <c r="C219">
        <v>1</v>
      </c>
      <c r="D219">
        <v>20160000</v>
      </c>
      <c r="E219">
        <v>204250000</v>
      </c>
      <c r="F219">
        <v>47960000</v>
      </c>
      <c r="G219">
        <v>2010</v>
      </c>
      <c r="H219">
        <v>2.5999999999999999E-3</v>
      </c>
      <c r="I219" t="b">
        <v>1</v>
      </c>
      <c r="J219">
        <v>2018</v>
      </c>
      <c r="K219" t="s">
        <v>11</v>
      </c>
      <c r="L219" t="s">
        <v>12</v>
      </c>
      <c r="M219">
        <v>10.130000000000001</v>
      </c>
      <c r="N219">
        <v>23861</v>
      </c>
      <c r="O219">
        <v>7</v>
      </c>
    </row>
    <row r="220" spans="1:15" x14ac:dyDescent="0.25">
      <c r="A220" t="s">
        <v>320</v>
      </c>
      <c r="B220" t="s">
        <v>10</v>
      </c>
      <c r="C220">
        <v>5</v>
      </c>
      <c r="D220">
        <v>246540000</v>
      </c>
      <c r="E220">
        <v>3510090000</v>
      </c>
      <c r="F220">
        <v>1900000</v>
      </c>
      <c r="G220">
        <v>2021</v>
      </c>
      <c r="H220">
        <v>8.6E-3</v>
      </c>
      <c r="I220" t="b">
        <v>0</v>
      </c>
      <c r="J220">
        <v>2004</v>
      </c>
      <c r="K220" t="s">
        <v>11</v>
      </c>
      <c r="L220" t="s">
        <v>12</v>
      </c>
      <c r="M220">
        <v>14.24</v>
      </c>
      <c r="N220">
        <v>940</v>
      </c>
      <c r="O220">
        <v>21</v>
      </c>
    </row>
    <row r="221" spans="1:15" x14ac:dyDescent="0.25">
      <c r="A221" t="s">
        <v>321</v>
      </c>
      <c r="B221" t="s">
        <v>14</v>
      </c>
      <c r="C221">
        <v>2</v>
      </c>
      <c r="D221">
        <v>111860000</v>
      </c>
      <c r="E221">
        <v>1511590000</v>
      </c>
      <c r="F221">
        <v>42200000</v>
      </c>
      <c r="G221">
        <v>3176</v>
      </c>
      <c r="H221">
        <v>9.1200000000000003E-2</v>
      </c>
      <c r="I221" t="b">
        <v>0</v>
      </c>
      <c r="J221">
        <v>2001</v>
      </c>
      <c r="K221" t="s">
        <v>29</v>
      </c>
      <c r="L221" t="s">
        <v>12</v>
      </c>
      <c r="M221">
        <v>13.51</v>
      </c>
      <c r="N221">
        <v>13287</v>
      </c>
      <c r="O221">
        <v>24</v>
      </c>
    </row>
    <row r="222" spans="1:15" x14ac:dyDescent="0.25">
      <c r="A222" t="s">
        <v>322</v>
      </c>
      <c r="B222" t="s">
        <v>10</v>
      </c>
      <c r="C222">
        <v>1</v>
      </c>
      <c r="D222">
        <v>245730000</v>
      </c>
      <c r="E222">
        <v>1556220000</v>
      </c>
      <c r="F222">
        <v>2810000</v>
      </c>
      <c r="G222">
        <v>2673</v>
      </c>
      <c r="H222">
        <v>3.61E-2</v>
      </c>
      <c r="I222" t="b">
        <v>0</v>
      </c>
      <c r="J222">
        <v>2017</v>
      </c>
      <c r="K222" t="s">
        <v>15</v>
      </c>
      <c r="L222" t="s">
        <v>20</v>
      </c>
      <c r="M222">
        <v>6.33</v>
      </c>
      <c r="N222">
        <v>1051</v>
      </c>
      <c r="O222">
        <v>8</v>
      </c>
    </row>
    <row r="223" spans="1:15" x14ac:dyDescent="0.25">
      <c r="A223" t="s">
        <v>323</v>
      </c>
      <c r="B223" t="s">
        <v>22</v>
      </c>
      <c r="C223">
        <v>2</v>
      </c>
      <c r="D223">
        <v>76130000</v>
      </c>
      <c r="E223">
        <v>1006240000</v>
      </c>
      <c r="F223">
        <v>96630000</v>
      </c>
      <c r="G223">
        <v>1883</v>
      </c>
      <c r="H223">
        <v>4.3099999999999999E-2</v>
      </c>
      <c r="I223" t="b">
        <v>0</v>
      </c>
      <c r="J223">
        <v>2009</v>
      </c>
      <c r="K223" t="s">
        <v>11</v>
      </c>
      <c r="L223" t="s">
        <v>23</v>
      </c>
      <c r="M223">
        <v>13.22</v>
      </c>
      <c r="N223">
        <v>51317</v>
      </c>
      <c r="O223">
        <v>16</v>
      </c>
    </row>
    <row r="224" spans="1:15" x14ac:dyDescent="0.25">
      <c r="A224" t="s">
        <v>16</v>
      </c>
      <c r="B224" t="s">
        <v>14</v>
      </c>
      <c r="C224">
        <v>1</v>
      </c>
      <c r="D224">
        <v>109240000</v>
      </c>
      <c r="E224">
        <v>1059370000</v>
      </c>
      <c r="F224">
        <v>84210000</v>
      </c>
      <c r="G224">
        <v>4933</v>
      </c>
      <c r="H224">
        <v>2.6100000000000002E-2</v>
      </c>
      <c r="I224" t="b">
        <v>1</v>
      </c>
      <c r="J224">
        <v>1995</v>
      </c>
      <c r="K224" t="s">
        <v>15</v>
      </c>
      <c r="L224" t="s">
        <v>12</v>
      </c>
      <c r="M224">
        <v>9.6999999999999993</v>
      </c>
      <c r="N224">
        <v>17071</v>
      </c>
      <c r="O224">
        <v>30</v>
      </c>
    </row>
    <row r="225" spans="1:15" x14ac:dyDescent="0.25">
      <c r="A225" t="s">
        <v>53</v>
      </c>
      <c r="B225" t="s">
        <v>31</v>
      </c>
      <c r="C225">
        <v>3</v>
      </c>
      <c r="D225">
        <v>246860000</v>
      </c>
      <c r="E225">
        <v>1165800000</v>
      </c>
      <c r="F225">
        <v>2390000</v>
      </c>
      <c r="G225">
        <v>4159</v>
      </c>
      <c r="H225">
        <v>3.7000000000000002E-3</v>
      </c>
      <c r="I225" t="b">
        <v>0</v>
      </c>
      <c r="J225">
        <v>2006</v>
      </c>
      <c r="K225" t="s">
        <v>29</v>
      </c>
      <c r="L225" t="s">
        <v>20</v>
      </c>
      <c r="M225">
        <v>4.72</v>
      </c>
      <c r="N225">
        <v>575</v>
      </c>
      <c r="O225">
        <v>19</v>
      </c>
    </row>
    <row r="226" spans="1:15" x14ac:dyDescent="0.25">
      <c r="A226" t="s">
        <v>324</v>
      </c>
      <c r="B226" t="s">
        <v>27</v>
      </c>
      <c r="C226">
        <v>3</v>
      </c>
      <c r="D226">
        <v>810000</v>
      </c>
      <c r="E226">
        <v>2430000</v>
      </c>
      <c r="F226">
        <v>12830000</v>
      </c>
      <c r="G226">
        <v>1201</v>
      </c>
      <c r="H226">
        <v>2.23E-2</v>
      </c>
      <c r="I226" t="b">
        <v>0</v>
      </c>
      <c r="J226">
        <v>2013</v>
      </c>
      <c r="K226" t="s">
        <v>15</v>
      </c>
      <c r="L226" t="s">
        <v>20</v>
      </c>
      <c r="M226">
        <v>3</v>
      </c>
      <c r="N226">
        <v>10683</v>
      </c>
      <c r="O226">
        <v>12</v>
      </c>
    </row>
    <row r="227" spans="1:15" x14ac:dyDescent="0.25">
      <c r="A227" t="s">
        <v>325</v>
      </c>
      <c r="B227" t="s">
        <v>22</v>
      </c>
      <c r="C227">
        <v>5</v>
      </c>
      <c r="D227">
        <v>48100000</v>
      </c>
      <c r="E227">
        <v>154510000</v>
      </c>
      <c r="F227">
        <v>70800000</v>
      </c>
      <c r="G227">
        <v>1777</v>
      </c>
      <c r="H227">
        <v>6.0100000000000001E-2</v>
      </c>
      <c r="I227" t="b">
        <v>1</v>
      </c>
      <c r="J227">
        <v>2010</v>
      </c>
      <c r="K227" t="s">
        <v>15</v>
      </c>
      <c r="L227" t="s">
        <v>12</v>
      </c>
      <c r="M227">
        <v>3.21</v>
      </c>
      <c r="N227">
        <v>39842</v>
      </c>
      <c r="O227">
        <v>15</v>
      </c>
    </row>
    <row r="228" spans="1:15" x14ac:dyDescent="0.25">
      <c r="A228" t="s">
        <v>326</v>
      </c>
      <c r="B228" t="s">
        <v>36</v>
      </c>
      <c r="C228">
        <v>1</v>
      </c>
      <c r="D228">
        <v>140830000</v>
      </c>
      <c r="E228">
        <v>1440780000</v>
      </c>
      <c r="F228">
        <v>97280000</v>
      </c>
      <c r="G228">
        <v>166</v>
      </c>
      <c r="H228">
        <v>5.9900000000000002E-2</v>
      </c>
      <c r="I228" t="b">
        <v>1</v>
      </c>
      <c r="J228">
        <v>1999</v>
      </c>
      <c r="K228" t="s">
        <v>25</v>
      </c>
      <c r="L228" t="s">
        <v>12</v>
      </c>
      <c r="M228">
        <v>10.23</v>
      </c>
      <c r="N228">
        <v>586024</v>
      </c>
      <c r="O228">
        <v>26</v>
      </c>
    </row>
    <row r="229" spans="1:15" x14ac:dyDescent="0.25">
      <c r="A229" t="s">
        <v>327</v>
      </c>
      <c r="B229" t="s">
        <v>22</v>
      </c>
      <c r="C229">
        <v>1</v>
      </c>
      <c r="D229">
        <v>283320000</v>
      </c>
      <c r="E229">
        <v>2090220000</v>
      </c>
      <c r="F229">
        <v>82620000</v>
      </c>
      <c r="G229">
        <v>3981</v>
      </c>
      <c r="H229">
        <v>3.78E-2</v>
      </c>
      <c r="I229" t="b">
        <v>1</v>
      </c>
      <c r="J229">
        <v>2003</v>
      </c>
      <c r="K229" t="s">
        <v>29</v>
      </c>
      <c r="L229" t="s">
        <v>12</v>
      </c>
      <c r="M229">
        <v>7.38</v>
      </c>
      <c r="N229">
        <v>20754</v>
      </c>
      <c r="O229">
        <v>22</v>
      </c>
    </row>
    <row r="230" spans="1:15" x14ac:dyDescent="0.25">
      <c r="A230" t="s">
        <v>328</v>
      </c>
      <c r="B230" t="s">
        <v>22</v>
      </c>
      <c r="C230">
        <v>1</v>
      </c>
      <c r="D230">
        <v>31110000</v>
      </c>
      <c r="E230">
        <v>237600000</v>
      </c>
      <c r="F230">
        <v>69960000</v>
      </c>
      <c r="G230">
        <v>1756</v>
      </c>
      <c r="H230">
        <v>3.4000000000000002E-2</v>
      </c>
      <c r="I230" t="b">
        <v>0</v>
      </c>
      <c r="J230">
        <v>2007</v>
      </c>
      <c r="K230" t="s">
        <v>15</v>
      </c>
      <c r="L230" t="s">
        <v>12</v>
      </c>
      <c r="M230">
        <v>7.64</v>
      </c>
      <c r="N230">
        <v>39841</v>
      </c>
      <c r="O230">
        <v>18</v>
      </c>
    </row>
    <row r="231" spans="1:15" x14ac:dyDescent="0.25">
      <c r="A231" t="s">
        <v>329</v>
      </c>
      <c r="B231" t="s">
        <v>36</v>
      </c>
      <c r="C231">
        <v>1</v>
      </c>
      <c r="D231">
        <v>256340000</v>
      </c>
      <c r="E231">
        <v>2505290000</v>
      </c>
      <c r="F231">
        <v>83960000</v>
      </c>
      <c r="G231">
        <v>780</v>
      </c>
      <c r="H231">
        <v>8.8599999999999998E-2</v>
      </c>
      <c r="I231" t="b">
        <v>0</v>
      </c>
      <c r="J231">
        <v>2013</v>
      </c>
      <c r="K231" t="s">
        <v>29</v>
      </c>
      <c r="L231" t="s">
        <v>12</v>
      </c>
      <c r="M231">
        <v>9.77</v>
      </c>
      <c r="N231">
        <v>107641</v>
      </c>
      <c r="O231">
        <v>12</v>
      </c>
    </row>
    <row r="232" spans="1:15" x14ac:dyDescent="0.25">
      <c r="A232" t="s">
        <v>330</v>
      </c>
      <c r="B232" t="s">
        <v>72</v>
      </c>
      <c r="C232">
        <v>1</v>
      </c>
      <c r="D232">
        <v>158340000</v>
      </c>
      <c r="E232">
        <v>839420000</v>
      </c>
      <c r="F232">
        <v>98180000</v>
      </c>
      <c r="G232">
        <v>944</v>
      </c>
      <c r="H232">
        <v>3.8899999999999997E-2</v>
      </c>
      <c r="I232" t="b">
        <v>0</v>
      </c>
      <c r="J232">
        <v>2003</v>
      </c>
      <c r="K232" t="s">
        <v>25</v>
      </c>
      <c r="L232" t="s">
        <v>12</v>
      </c>
      <c r="M232">
        <v>5.3</v>
      </c>
      <c r="N232">
        <v>104004</v>
      </c>
      <c r="O232">
        <v>22</v>
      </c>
    </row>
    <row r="233" spans="1:15" x14ac:dyDescent="0.25">
      <c r="A233" t="s">
        <v>331</v>
      </c>
      <c r="B233" t="s">
        <v>18</v>
      </c>
      <c r="C233">
        <v>2</v>
      </c>
      <c r="D233">
        <v>247860000</v>
      </c>
      <c r="E233">
        <v>1373410000</v>
      </c>
      <c r="F233">
        <v>62170000</v>
      </c>
      <c r="G233">
        <v>3225</v>
      </c>
      <c r="H233">
        <v>4.99E-2</v>
      </c>
      <c r="I233" t="b">
        <v>0</v>
      </c>
      <c r="J233">
        <v>2001</v>
      </c>
      <c r="K233" t="s">
        <v>29</v>
      </c>
      <c r="L233" t="s">
        <v>12</v>
      </c>
      <c r="M233">
        <v>5.54</v>
      </c>
      <c r="N233">
        <v>19278</v>
      </c>
      <c r="O233">
        <v>24</v>
      </c>
    </row>
    <row r="234" spans="1:15" x14ac:dyDescent="0.25">
      <c r="A234" t="s">
        <v>332</v>
      </c>
      <c r="B234" t="s">
        <v>22</v>
      </c>
      <c r="C234">
        <v>5</v>
      </c>
      <c r="D234">
        <v>89860000</v>
      </c>
      <c r="E234">
        <v>792140000</v>
      </c>
      <c r="F234">
        <v>55960000</v>
      </c>
      <c r="G234">
        <v>544</v>
      </c>
      <c r="H234">
        <v>2.9000000000000001E-2</v>
      </c>
      <c r="I234" t="b">
        <v>0</v>
      </c>
      <c r="J234">
        <v>2011</v>
      </c>
      <c r="K234" t="s">
        <v>11</v>
      </c>
      <c r="L234" t="s">
        <v>12</v>
      </c>
      <c r="M234">
        <v>8.82</v>
      </c>
      <c r="N234">
        <v>102868</v>
      </c>
      <c r="O234">
        <v>14</v>
      </c>
    </row>
    <row r="235" spans="1:15" x14ac:dyDescent="0.25">
      <c r="A235" t="s">
        <v>333</v>
      </c>
      <c r="B235" t="s">
        <v>36</v>
      </c>
      <c r="C235">
        <v>3</v>
      </c>
      <c r="D235">
        <v>252060000</v>
      </c>
      <c r="E235">
        <v>3037590000</v>
      </c>
      <c r="F235">
        <v>62860000</v>
      </c>
      <c r="G235">
        <v>4922</v>
      </c>
      <c r="H235">
        <v>7.8899999999999998E-2</v>
      </c>
      <c r="I235" t="b">
        <v>0</v>
      </c>
      <c r="J235">
        <v>1995</v>
      </c>
      <c r="K235" t="s">
        <v>15</v>
      </c>
      <c r="L235" t="s">
        <v>12</v>
      </c>
      <c r="M235">
        <v>12.05</v>
      </c>
      <c r="N235">
        <v>12771</v>
      </c>
      <c r="O235">
        <v>30</v>
      </c>
    </row>
    <row r="236" spans="1:15" x14ac:dyDescent="0.25">
      <c r="A236" t="s">
        <v>54</v>
      </c>
      <c r="B236" t="s">
        <v>22</v>
      </c>
      <c r="C236">
        <v>3</v>
      </c>
      <c r="D236">
        <v>159130000</v>
      </c>
      <c r="E236">
        <v>2272030000</v>
      </c>
      <c r="F236">
        <v>32280000</v>
      </c>
      <c r="G236">
        <v>1941</v>
      </c>
      <c r="H236">
        <v>8.4099999999999994E-2</v>
      </c>
      <c r="I236" t="b">
        <v>0</v>
      </c>
      <c r="J236">
        <v>2008</v>
      </c>
      <c r="K236" t="s">
        <v>38</v>
      </c>
      <c r="L236" t="s">
        <v>20</v>
      </c>
      <c r="M236">
        <v>14.28</v>
      </c>
      <c r="N236">
        <v>16631</v>
      </c>
      <c r="O236">
        <v>17</v>
      </c>
    </row>
    <row r="237" spans="1:15" x14ac:dyDescent="0.25">
      <c r="A237" t="s">
        <v>334</v>
      </c>
      <c r="B237" t="s">
        <v>14</v>
      </c>
      <c r="C237">
        <v>3</v>
      </c>
      <c r="D237">
        <v>231960000</v>
      </c>
      <c r="E237">
        <v>2420260000</v>
      </c>
      <c r="F237">
        <v>53310000</v>
      </c>
      <c r="G237">
        <v>1466</v>
      </c>
      <c r="H237">
        <v>4.0300000000000002E-2</v>
      </c>
      <c r="I237" t="b">
        <v>0</v>
      </c>
      <c r="J237">
        <v>2011</v>
      </c>
      <c r="K237" t="s">
        <v>29</v>
      </c>
      <c r="L237" t="s">
        <v>23</v>
      </c>
      <c r="M237">
        <v>10.43</v>
      </c>
      <c r="N237">
        <v>36364</v>
      </c>
      <c r="O237">
        <v>14</v>
      </c>
    </row>
    <row r="238" spans="1:15" x14ac:dyDescent="0.25">
      <c r="A238" t="s">
        <v>335</v>
      </c>
      <c r="B238" t="s">
        <v>27</v>
      </c>
      <c r="C238">
        <v>3</v>
      </c>
      <c r="D238">
        <v>69400000</v>
      </c>
      <c r="E238">
        <v>455840000</v>
      </c>
      <c r="F238">
        <v>63550000</v>
      </c>
      <c r="G238">
        <v>360</v>
      </c>
      <c r="H238">
        <v>5.1799999999999999E-2</v>
      </c>
      <c r="I238" t="b">
        <v>0</v>
      </c>
      <c r="J238">
        <v>2003</v>
      </c>
      <c r="K238" t="s">
        <v>38</v>
      </c>
      <c r="L238" t="s">
        <v>20</v>
      </c>
      <c r="M238">
        <v>6.57</v>
      </c>
      <c r="N238">
        <v>176528</v>
      </c>
      <c r="O238">
        <v>22</v>
      </c>
    </row>
    <row r="239" spans="1:15" x14ac:dyDescent="0.25">
      <c r="A239" t="s">
        <v>336</v>
      </c>
      <c r="B239" t="s">
        <v>27</v>
      </c>
      <c r="C239">
        <v>3</v>
      </c>
      <c r="D239">
        <v>39830000</v>
      </c>
      <c r="E239">
        <v>325170000</v>
      </c>
      <c r="F239">
        <v>45040000</v>
      </c>
      <c r="G239">
        <v>3609</v>
      </c>
      <c r="H239">
        <v>2.6100000000000002E-2</v>
      </c>
      <c r="I239" t="b">
        <v>1</v>
      </c>
      <c r="J239">
        <v>2005</v>
      </c>
      <c r="K239" t="s">
        <v>29</v>
      </c>
      <c r="L239" t="s">
        <v>12</v>
      </c>
      <c r="M239">
        <v>8.16</v>
      </c>
      <c r="N239">
        <v>12480</v>
      </c>
      <c r="O239">
        <v>20</v>
      </c>
    </row>
    <row r="240" spans="1:15" x14ac:dyDescent="0.25">
      <c r="A240" t="s">
        <v>337</v>
      </c>
      <c r="B240" t="s">
        <v>22</v>
      </c>
      <c r="C240">
        <v>2</v>
      </c>
      <c r="D240">
        <v>260480000</v>
      </c>
      <c r="E240">
        <v>1314900000</v>
      </c>
      <c r="F240">
        <v>21920000</v>
      </c>
      <c r="G240">
        <v>3328</v>
      </c>
      <c r="H240">
        <v>9.8799999999999999E-2</v>
      </c>
      <c r="I240" t="b">
        <v>1</v>
      </c>
      <c r="J240">
        <v>2014</v>
      </c>
      <c r="K240" t="s">
        <v>15</v>
      </c>
      <c r="L240" t="s">
        <v>20</v>
      </c>
      <c r="M240">
        <v>5.05</v>
      </c>
      <c r="N240">
        <v>6587</v>
      </c>
      <c r="O240">
        <v>11</v>
      </c>
    </row>
    <row r="241" spans="1:15" x14ac:dyDescent="0.25">
      <c r="A241" t="s">
        <v>338</v>
      </c>
      <c r="B241" t="s">
        <v>72</v>
      </c>
      <c r="C241">
        <v>4</v>
      </c>
      <c r="D241">
        <v>288990000</v>
      </c>
      <c r="E241">
        <v>1125780000</v>
      </c>
      <c r="F241">
        <v>12110000</v>
      </c>
      <c r="G241">
        <v>239</v>
      </c>
      <c r="H241">
        <v>2.9899999999999999E-2</v>
      </c>
      <c r="I241" t="b">
        <v>1</v>
      </c>
      <c r="J241">
        <v>2021</v>
      </c>
      <c r="K241" t="s">
        <v>25</v>
      </c>
      <c r="L241" t="s">
        <v>12</v>
      </c>
      <c r="M241">
        <v>3.9</v>
      </c>
      <c r="N241">
        <v>50669</v>
      </c>
      <c r="O241">
        <v>4</v>
      </c>
    </row>
    <row r="242" spans="1:15" x14ac:dyDescent="0.25">
      <c r="A242" t="s">
        <v>339</v>
      </c>
      <c r="B242" t="s">
        <v>72</v>
      </c>
      <c r="C242">
        <v>5</v>
      </c>
      <c r="D242">
        <v>9880000</v>
      </c>
      <c r="E242">
        <v>122440000</v>
      </c>
      <c r="F242">
        <v>6930000</v>
      </c>
      <c r="G242">
        <v>1553</v>
      </c>
      <c r="H242">
        <v>7.7299999999999994E-2</v>
      </c>
      <c r="I242" t="b">
        <v>1</v>
      </c>
      <c r="J242">
        <v>2022</v>
      </c>
      <c r="K242" t="s">
        <v>25</v>
      </c>
      <c r="L242" t="s">
        <v>12</v>
      </c>
      <c r="M242">
        <v>12.39</v>
      </c>
      <c r="N242">
        <v>4462</v>
      </c>
      <c r="O242">
        <v>3</v>
      </c>
    </row>
    <row r="243" spans="1:15" x14ac:dyDescent="0.25">
      <c r="A243" t="s">
        <v>340</v>
      </c>
      <c r="B243" t="s">
        <v>14</v>
      </c>
      <c r="C243">
        <v>1</v>
      </c>
      <c r="D243">
        <v>219520000</v>
      </c>
      <c r="E243">
        <v>1357650000</v>
      </c>
      <c r="F243">
        <v>26410000</v>
      </c>
      <c r="G243">
        <v>2101</v>
      </c>
      <c r="H243">
        <v>4.3299999999999998E-2</v>
      </c>
      <c r="I243" t="b">
        <v>1</v>
      </c>
      <c r="J243">
        <v>2009</v>
      </c>
      <c r="K243" t="s">
        <v>15</v>
      </c>
      <c r="L243" t="s">
        <v>12</v>
      </c>
      <c r="M243">
        <v>6.18</v>
      </c>
      <c r="N243">
        <v>12570</v>
      </c>
      <c r="O243">
        <v>16</v>
      </c>
    </row>
    <row r="244" spans="1:15" x14ac:dyDescent="0.25">
      <c r="A244" t="s">
        <v>341</v>
      </c>
      <c r="B244" t="s">
        <v>22</v>
      </c>
      <c r="C244">
        <v>4</v>
      </c>
      <c r="D244">
        <v>272900000</v>
      </c>
      <c r="E244">
        <v>1400850000</v>
      </c>
      <c r="F244">
        <v>4710000</v>
      </c>
      <c r="G244">
        <v>4218</v>
      </c>
      <c r="H244">
        <v>2.1399999999999999E-2</v>
      </c>
      <c r="I244" t="b">
        <v>0</v>
      </c>
      <c r="J244">
        <v>2007</v>
      </c>
      <c r="K244" t="s">
        <v>11</v>
      </c>
      <c r="L244" t="s">
        <v>12</v>
      </c>
      <c r="M244">
        <v>5.13</v>
      </c>
      <c r="N244">
        <v>1117</v>
      </c>
      <c r="O244">
        <v>18</v>
      </c>
    </row>
    <row r="245" spans="1:15" x14ac:dyDescent="0.25">
      <c r="A245" t="s">
        <v>342</v>
      </c>
      <c r="B245" t="s">
        <v>27</v>
      </c>
      <c r="C245">
        <v>3</v>
      </c>
      <c r="D245">
        <v>257280000</v>
      </c>
      <c r="E245">
        <v>2907110000</v>
      </c>
      <c r="F245">
        <v>56760000</v>
      </c>
      <c r="G245">
        <v>2106</v>
      </c>
      <c r="H245">
        <v>8.0199999999999994E-2</v>
      </c>
      <c r="I245" t="b">
        <v>0</v>
      </c>
      <c r="J245">
        <v>1992</v>
      </c>
      <c r="K245" t="s">
        <v>11</v>
      </c>
      <c r="L245" t="s">
        <v>20</v>
      </c>
      <c r="M245">
        <v>11.3</v>
      </c>
      <c r="N245">
        <v>26952</v>
      </c>
      <c r="O245">
        <v>33</v>
      </c>
    </row>
    <row r="246" spans="1:15" x14ac:dyDescent="0.25">
      <c r="A246" t="s">
        <v>343</v>
      </c>
      <c r="B246" t="s">
        <v>72</v>
      </c>
      <c r="C246">
        <v>4</v>
      </c>
      <c r="D246">
        <v>289370000</v>
      </c>
      <c r="E246">
        <v>3014260000</v>
      </c>
      <c r="F246">
        <v>28450000</v>
      </c>
      <c r="G246">
        <v>1678</v>
      </c>
      <c r="H246">
        <v>3.4000000000000002E-2</v>
      </c>
      <c r="I246" t="b">
        <v>1</v>
      </c>
      <c r="J246">
        <v>2012</v>
      </c>
      <c r="K246" t="s">
        <v>25</v>
      </c>
      <c r="L246" t="s">
        <v>12</v>
      </c>
      <c r="M246">
        <v>10.42</v>
      </c>
      <c r="N246">
        <v>16955</v>
      </c>
      <c r="O246">
        <v>13</v>
      </c>
    </row>
    <row r="247" spans="1:15" x14ac:dyDescent="0.25">
      <c r="A247" t="s">
        <v>55</v>
      </c>
      <c r="B247" t="s">
        <v>18</v>
      </c>
      <c r="C247">
        <v>1</v>
      </c>
      <c r="D247">
        <v>244610000</v>
      </c>
      <c r="E247">
        <v>2885120000</v>
      </c>
      <c r="F247">
        <v>63690000</v>
      </c>
      <c r="G247">
        <v>2161</v>
      </c>
      <c r="H247">
        <v>7.5399999999999995E-2</v>
      </c>
      <c r="I247" t="b">
        <v>0</v>
      </c>
      <c r="J247">
        <v>2009</v>
      </c>
      <c r="K247" t="s">
        <v>25</v>
      </c>
      <c r="L247" t="s">
        <v>12</v>
      </c>
      <c r="M247">
        <v>11.79</v>
      </c>
      <c r="N247">
        <v>29472</v>
      </c>
      <c r="O247">
        <v>16</v>
      </c>
    </row>
    <row r="248" spans="1:15" x14ac:dyDescent="0.25">
      <c r="A248" t="s">
        <v>344</v>
      </c>
      <c r="B248" t="s">
        <v>22</v>
      </c>
      <c r="C248">
        <v>5</v>
      </c>
      <c r="D248">
        <v>228150000</v>
      </c>
      <c r="E248">
        <v>2418000000</v>
      </c>
      <c r="F248">
        <v>82470000</v>
      </c>
      <c r="G248">
        <v>2105</v>
      </c>
      <c r="H248">
        <v>8.6699999999999999E-2</v>
      </c>
      <c r="I248" t="b">
        <v>1</v>
      </c>
      <c r="J248">
        <v>2021</v>
      </c>
      <c r="K248" t="s">
        <v>25</v>
      </c>
      <c r="L248" t="s">
        <v>12</v>
      </c>
      <c r="M248">
        <v>10.6</v>
      </c>
      <c r="N248">
        <v>39178</v>
      </c>
      <c r="O248">
        <v>4</v>
      </c>
    </row>
    <row r="249" spans="1:15" x14ac:dyDescent="0.25">
      <c r="A249" t="s">
        <v>345</v>
      </c>
      <c r="B249" t="s">
        <v>10</v>
      </c>
      <c r="C249">
        <v>1</v>
      </c>
      <c r="D249">
        <v>132970000</v>
      </c>
      <c r="E249">
        <v>764140000</v>
      </c>
      <c r="F249">
        <v>7520000</v>
      </c>
      <c r="G249">
        <v>3662</v>
      </c>
      <c r="H249">
        <v>9.1600000000000001E-2</v>
      </c>
      <c r="I249" t="b">
        <v>1</v>
      </c>
      <c r="J249">
        <v>2005</v>
      </c>
      <c r="K249" t="s">
        <v>15</v>
      </c>
      <c r="L249" t="s">
        <v>12</v>
      </c>
      <c r="M249">
        <v>5.75</v>
      </c>
      <c r="N249">
        <v>2054</v>
      </c>
      <c r="O249">
        <v>20</v>
      </c>
    </row>
    <row r="250" spans="1:15" x14ac:dyDescent="0.25">
      <c r="A250" t="s">
        <v>346</v>
      </c>
      <c r="B250" t="s">
        <v>72</v>
      </c>
      <c r="C250">
        <v>1</v>
      </c>
      <c r="D250">
        <v>93930000</v>
      </c>
      <c r="E250">
        <v>544020000</v>
      </c>
      <c r="F250">
        <v>22710000</v>
      </c>
      <c r="G250">
        <v>4658</v>
      </c>
      <c r="H250">
        <v>8.6099999999999996E-2</v>
      </c>
      <c r="I250" t="b">
        <v>1</v>
      </c>
      <c r="J250">
        <v>1994</v>
      </c>
      <c r="K250" t="s">
        <v>11</v>
      </c>
      <c r="L250" t="s">
        <v>12</v>
      </c>
      <c r="M250">
        <v>5.79</v>
      </c>
      <c r="N250">
        <v>4875</v>
      </c>
      <c r="O250">
        <v>31</v>
      </c>
    </row>
    <row r="251" spans="1:15" x14ac:dyDescent="0.25">
      <c r="A251" t="s">
        <v>347</v>
      </c>
      <c r="B251" t="s">
        <v>36</v>
      </c>
      <c r="C251">
        <v>5</v>
      </c>
      <c r="D251">
        <v>96560000</v>
      </c>
      <c r="E251">
        <v>545530000</v>
      </c>
      <c r="F251">
        <v>73050000</v>
      </c>
      <c r="G251">
        <v>3601</v>
      </c>
      <c r="H251">
        <v>4.4999999999999997E-3</v>
      </c>
      <c r="I251" t="b">
        <v>0</v>
      </c>
      <c r="J251">
        <v>1993</v>
      </c>
      <c r="K251" t="s">
        <v>25</v>
      </c>
      <c r="L251" t="s">
        <v>12</v>
      </c>
      <c r="M251">
        <v>5.65</v>
      </c>
      <c r="N251">
        <v>20286</v>
      </c>
      <c r="O251">
        <v>32</v>
      </c>
    </row>
    <row r="252" spans="1:15" x14ac:dyDescent="0.25">
      <c r="A252" t="s">
        <v>348</v>
      </c>
      <c r="B252" t="s">
        <v>10</v>
      </c>
      <c r="C252">
        <v>5</v>
      </c>
      <c r="D252">
        <v>217460000</v>
      </c>
      <c r="E252">
        <v>1105790000</v>
      </c>
      <c r="F252">
        <v>59920000</v>
      </c>
      <c r="G252">
        <v>3753</v>
      </c>
      <c r="H252">
        <v>7.8899999999999998E-2</v>
      </c>
      <c r="I252" t="b">
        <v>1</v>
      </c>
      <c r="J252">
        <v>2010</v>
      </c>
      <c r="K252" t="s">
        <v>11</v>
      </c>
      <c r="L252" t="s">
        <v>12</v>
      </c>
      <c r="M252">
        <v>5.09</v>
      </c>
      <c r="N252">
        <v>15966</v>
      </c>
      <c r="O252">
        <v>15</v>
      </c>
    </row>
    <row r="253" spans="1:15" x14ac:dyDescent="0.25">
      <c r="A253" t="s">
        <v>349</v>
      </c>
      <c r="B253" t="s">
        <v>18</v>
      </c>
      <c r="C253">
        <v>3</v>
      </c>
      <c r="D253">
        <v>223880000</v>
      </c>
      <c r="E253">
        <v>2433280000</v>
      </c>
      <c r="F253">
        <v>6540000</v>
      </c>
      <c r="G253">
        <v>3178</v>
      </c>
      <c r="H253">
        <v>4.1700000000000001E-2</v>
      </c>
      <c r="I253" t="b">
        <v>1</v>
      </c>
      <c r="J253">
        <v>2003</v>
      </c>
      <c r="K253" t="s">
        <v>25</v>
      </c>
      <c r="L253" t="s">
        <v>12</v>
      </c>
      <c r="M253">
        <v>10.87</v>
      </c>
      <c r="N253">
        <v>2058</v>
      </c>
      <c r="O253">
        <v>22</v>
      </c>
    </row>
    <row r="254" spans="1:15" x14ac:dyDescent="0.25">
      <c r="A254" t="s">
        <v>350</v>
      </c>
      <c r="B254" t="s">
        <v>72</v>
      </c>
      <c r="C254">
        <v>1</v>
      </c>
      <c r="D254">
        <v>60510000</v>
      </c>
      <c r="E254">
        <v>797290000</v>
      </c>
      <c r="F254">
        <v>87740000</v>
      </c>
      <c r="G254">
        <v>1820</v>
      </c>
      <c r="H254">
        <v>8.7499999999999994E-2</v>
      </c>
      <c r="I254" t="b">
        <v>0</v>
      </c>
      <c r="J254">
        <v>2020</v>
      </c>
      <c r="K254" t="s">
        <v>29</v>
      </c>
      <c r="L254" t="s">
        <v>20</v>
      </c>
      <c r="M254">
        <v>13.18</v>
      </c>
      <c r="N254">
        <v>48209</v>
      </c>
      <c r="O254">
        <v>5</v>
      </c>
    </row>
    <row r="255" spans="1:15" x14ac:dyDescent="0.25">
      <c r="A255" t="s">
        <v>351</v>
      </c>
      <c r="B255" t="s">
        <v>27</v>
      </c>
      <c r="C255">
        <v>4</v>
      </c>
      <c r="D255">
        <v>260500000</v>
      </c>
      <c r="E255">
        <v>3045720000</v>
      </c>
      <c r="F255">
        <v>87740000</v>
      </c>
      <c r="G255">
        <v>3846</v>
      </c>
      <c r="H255">
        <v>6.4199999999999993E-2</v>
      </c>
      <c r="I255" t="b">
        <v>1</v>
      </c>
      <c r="J255">
        <v>2003</v>
      </c>
      <c r="K255" t="s">
        <v>38</v>
      </c>
      <c r="L255" t="s">
        <v>12</v>
      </c>
      <c r="M255">
        <v>11.69</v>
      </c>
      <c r="N255">
        <v>22813</v>
      </c>
      <c r="O255">
        <v>22</v>
      </c>
    </row>
    <row r="256" spans="1:15" x14ac:dyDescent="0.25">
      <c r="A256" t="s">
        <v>352</v>
      </c>
      <c r="B256" t="s">
        <v>31</v>
      </c>
      <c r="C256">
        <v>2</v>
      </c>
      <c r="D256">
        <v>214620000</v>
      </c>
      <c r="E256">
        <v>2683850000</v>
      </c>
      <c r="F256">
        <v>33110000</v>
      </c>
      <c r="G256">
        <v>2010</v>
      </c>
      <c r="H256">
        <v>8.3500000000000005E-2</v>
      </c>
      <c r="I256" t="b">
        <v>0</v>
      </c>
      <c r="J256">
        <v>1995</v>
      </c>
      <c r="K256" t="s">
        <v>29</v>
      </c>
      <c r="L256" t="s">
        <v>12</v>
      </c>
      <c r="M256">
        <v>12.51</v>
      </c>
      <c r="N256">
        <v>16473</v>
      </c>
      <c r="O256">
        <v>30</v>
      </c>
    </row>
    <row r="257" spans="1:15" x14ac:dyDescent="0.25">
      <c r="A257" t="s">
        <v>353</v>
      </c>
      <c r="B257" t="s">
        <v>10</v>
      </c>
      <c r="C257">
        <v>2</v>
      </c>
      <c r="D257">
        <v>169040000</v>
      </c>
      <c r="E257">
        <v>1328250000</v>
      </c>
      <c r="F257">
        <v>34110000</v>
      </c>
      <c r="G257">
        <v>4498</v>
      </c>
      <c r="H257">
        <v>5.04E-2</v>
      </c>
      <c r="I257" t="b">
        <v>1</v>
      </c>
      <c r="J257">
        <v>2001</v>
      </c>
      <c r="K257" t="s">
        <v>25</v>
      </c>
      <c r="L257" t="s">
        <v>12</v>
      </c>
      <c r="M257">
        <v>7.86</v>
      </c>
      <c r="N257">
        <v>7583</v>
      </c>
      <c r="O257">
        <v>24</v>
      </c>
    </row>
    <row r="258" spans="1:15" x14ac:dyDescent="0.25">
      <c r="A258" t="s">
        <v>56</v>
      </c>
      <c r="B258" t="s">
        <v>22</v>
      </c>
      <c r="C258">
        <v>5</v>
      </c>
      <c r="D258">
        <v>149680000</v>
      </c>
      <c r="E258">
        <v>740700000</v>
      </c>
      <c r="F258">
        <v>14990000</v>
      </c>
      <c r="G258">
        <v>3812</v>
      </c>
      <c r="H258">
        <v>2.3599999999999999E-2</v>
      </c>
      <c r="I258" t="b">
        <v>0</v>
      </c>
      <c r="J258">
        <v>2021</v>
      </c>
      <c r="K258" t="s">
        <v>11</v>
      </c>
      <c r="L258" t="s">
        <v>12</v>
      </c>
      <c r="M258">
        <v>4.95</v>
      </c>
      <c r="N258">
        <v>3932</v>
      </c>
      <c r="O258">
        <v>4</v>
      </c>
    </row>
    <row r="259" spans="1:15" x14ac:dyDescent="0.25">
      <c r="A259" t="s">
        <v>354</v>
      </c>
      <c r="B259" t="s">
        <v>18</v>
      </c>
      <c r="C259">
        <v>5</v>
      </c>
      <c r="D259">
        <v>141720000</v>
      </c>
      <c r="E259">
        <v>1537510000</v>
      </c>
      <c r="F259">
        <v>98900000</v>
      </c>
      <c r="G259">
        <v>679</v>
      </c>
      <c r="H259">
        <v>5.3999999999999999E-2</v>
      </c>
      <c r="I259" t="b">
        <v>1</v>
      </c>
      <c r="J259">
        <v>2005</v>
      </c>
      <c r="K259" t="s">
        <v>38</v>
      </c>
      <c r="L259" t="s">
        <v>12</v>
      </c>
      <c r="M259">
        <v>10.85</v>
      </c>
      <c r="N259">
        <v>145655</v>
      </c>
      <c r="O259">
        <v>20</v>
      </c>
    </row>
    <row r="260" spans="1:15" x14ac:dyDescent="0.25">
      <c r="A260" t="s">
        <v>355</v>
      </c>
      <c r="B260" t="s">
        <v>14</v>
      </c>
      <c r="C260">
        <v>3</v>
      </c>
      <c r="D260">
        <v>163200000</v>
      </c>
      <c r="E260">
        <v>1183340000</v>
      </c>
      <c r="F260">
        <v>62650000</v>
      </c>
      <c r="G260">
        <v>391</v>
      </c>
      <c r="H260">
        <v>1.5299999999999999E-2</v>
      </c>
      <c r="I260" t="b">
        <v>0</v>
      </c>
      <c r="J260">
        <v>2006</v>
      </c>
      <c r="K260" t="s">
        <v>38</v>
      </c>
      <c r="L260" t="s">
        <v>12</v>
      </c>
      <c r="M260">
        <v>7.25</v>
      </c>
      <c r="N260">
        <v>160230</v>
      </c>
      <c r="O260">
        <v>19</v>
      </c>
    </row>
    <row r="261" spans="1:15" x14ac:dyDescent="0.25">
      <c r="A261" t="s">
        <v>356</v>
      </c>
      <c r="B261" t="s">
        <v>14</v>
      </c>
      <c r="C261">
        <v>2</v>
      </c>
      <c r="D261">
        <v>48190000</v>
      </c>
      <c r="E261">
        <v>448460000</v>
      </c>
      <c r="F261">
        <v>53180000</v>
      </c>
      <c r="G261">
        <v>2163</v>
      </c>
      <c r="H261">
        <v>7.8600000000000003E-2</v>
      </c>
      <c r="I261" t="b">
        <v>1</v>
      </c>
      <c r="J261">
        <v>2012</v>
      </c>
      <c r="K261" t="s">
        <v>25</v>
      </c>
      <c r="L261" t="s">
        <v>12</v>
      </c>
      <c r="M261">
        <v>9.31</v>
      </c>
      <c r="N261">
        <v>24586</v>
      </c>
      <c r="O261">
        <v>13</v>
      </c>
    </row>
    <row r="262" spans="1:15" x14ac:dyDescent="0.25">
      <c r="A262" t="s">
        <v>357</v>
      </c>
      <c r="B262" t="s">
        <v>27</v>
      </c>
      <c r="C262">
        <v>1</v>
      </c>
      <c r="D262">
        <v>61510000</v>
      </c>
      <c r="E262">
        <v>540030000</v>
      </c>
      <c r="F262">
        <v>83830000</v>
      </c>
      <c r="G262">
        <v>2666</v>
      </c>
      <c r="H262">
        <v>4.2500000000000003E-2</v>
      </c>
      <c r="I262" t="b">
        <v>0</v>
      </c>
      <c r="J262">
        <v>2003</v>
      </c>
      <c r="K262" t="s">
        <v>25</v>
      </c>
      <c r="L262" t="s">
        <v>12</v>
      </c>
      <c r="M262">
        <v>8.7799999999999994</v>
      </c>
      <c r="N262">
        <v>31444</v>
      </c>
      <c r="O262">
        <v>22</v>
      </c>
    </row>
    <row r="263" spans="1:15" x14ac:dyDescent="0.25">
      <c r="A263" t="s">
        <v>358</v>
      </c>
      <c r="B263" t="s">
        <v>72</v>
      </c>
      <c r="C263">
        <v>5</v>
      </c>
      <c r="D263">
        <v>27800000</v>
      </c>
      <c r="E263">
        <v>142410000</v>
      </c>
      <c r="F263">
        <v>28600000</v>
      </c>
      <c r="G263">
        <v>2069</v>
      </c>
      <c r="H263">
        <v>5.0500000000000003E-2</v>
      </c>
      <c r="I263" t="b">
        <v>1</v>
      </c>
      <c r="J263">
        <v>1996</v>
      </c>
      <c r="K263" t="s">
        <v>11</v>
      </c>
      <c r="L263" t="s">
        <v>20</v>
      </c>
      <c r="M263">
        <v>5.12</v>
      </c>
      <c r="N263">
        <v>13823</v>
      </c>
      <c r="O263">
        <v>29</v>
      </c>
    </row>
    <row r="264" spans="1:15" x14ac:dyDescent="0.25">
      <c r="A264" t="s">
        <v>359</v>
      </c>
      <c r="B264" t="s">
        <v>22</v>
      </c>
      <c r="C264">
        <v>4</v>
      </c>
      <c r="D264">
        <v>46520000</v>
      </c>
      <c r="E264">
        <v>355640000</v>
      </c>
      <c r="F264">
        <v>42980000</v>
      </c>
      <c r="G264">
        <v>3856</v>
      </c>
      <c r="H264">
        <v>7.8700000000000006E-2</v>
      </c>
      <c r="I264" t="b">
        <v>0</v>
      </c>
      <c r="J264">
        <v>2021</v>
      </c>
      <c r="K264" t="s">
        <v>25</v>
      </c>
      <c r="L264" t="s">
        <v>12</v>
      </c>
      <c r="M264">
        <v>7.64</v>
      </c>
      <c r="N264">
        <v>11146</v>
      </c>
      <c r="O264">
        <v>4</v>
      </c>
    </row>
    <row r="265" spans="1:15" x14ac:dyDescent="0.25">
      <c r="A265" t="s">
        <v>360</v>
      </c>
      <c r="B265" t="s">
        <v>72</v>
      </c>
      <c r="C265">
        <v>5</v>
      </c>
      <c r="D265">
        <v>136380000</v>
      </c>
      <c r="E265">
        <v>1986490000</v>
      </c>
      <c r="F265">
        <v>26850000</v>
      </c>
      <c r="G265">
        <v>3258</v>
      </c>
      <c r="H265">
        <v>6.0299999999999999E-2</v>
      </c>
      <c r="I265" t="b">
        <v>1</v>
      </c>
      <c r="J265">
        <v>2004</v>
      </c>
      <c r="K265" t="s">
        <v>15</v>
      </c>
      <c r="L265" t="s">
        <v>20</v>
      </c>
      <c r="M265">
        <v>14.57</v>
      </c>
      <c r="N265">
        <v>8241</v>
      </c>
      <c r="O265">
        <v>21</v>
      </c>
    </row>
    <row r="266" spans="1:15" x14ac:dyDescent="0.25">
      <c r="A266" t="s">
        <v>361</v>
      </c>
      <c r="B266" t="s">
        <v>27</v>
      </c>
      <c r="C266">
        <v>4</v>
      </c>
      <c r="D266">
        <v>159340000</v>
      </c>
      <c r="E266">
        <v>953330000</v>
      </c>
      <c r="F266">
        <v>78940000</v>
      </c>
      <c r="G266">
        <v>4984</v>
      </c>
      <c r="H266">
        <v>2.0899999999999998E-2</v>
      </c>
      <c r="I266" t="b">
        <v>0</v>
      </c>
      <c r="J266">
        <v>2006</v>
      </c>
      <c r="K266" t="s">
        <v>25</v>
      </c>
      <c r="L266" t="s">
        <v>20</v>
      </c>
      <c r="M266">
        <v>5.98</v>
      </c>
      <c r="N266">
        <v>15839</v>
      </c>
      <c r="O266">
        <v>19</v>
      </c>
    </row>
    <row r="267" spans="1:15" x14ac:dyDescent="0.25">
      <c r="A267" t="s">
        <v>362</v>
      </c>
      <c r="B267" t="s">
        <v>14</v>
      </c>
      <c r="C267">
        <v>5</v>
      </c>
      <c r="D267">
        <v>5850000</v>
      </c>
      <c r="E267">
        <v>26940000</v>
      </c>
      <c r="F267">
        <v>57380000</v>
      </c>
      <c r="G267">
        <v>4641</v>
      </c>
      <c r="H267">
        <v>5.9400000000000001E-2</v>
      </c>
      <c r="I267" t="b">
        <v>1</v>
      </c>
      <c r="J267">
        <v>1994</v>
      </c>
      <c r="K267" t="s">
        <v>15</v>
      </c>
      <c r="L267" t="s">
        <v>12</v>
      </c>
      <c r="M267">
        <v>4.6100000000000003</v>
      </c>
      <c r="N267">
        <v>12364</v>
      </c>
      <c r="O267">
        <v>31</v>
      </c>
    </row>
    <row r="268" spans="1:15" x14ac:dyDescent="0.25">
      <c r="A268" t="s">
        <v>363</v>
      </c>
      <c r="B268" t="s">
        <v>72</v>
      </c>
      <c r="C268">
        <v>5</v>
      </c>
      <c r="D268">
        <v>239140000</v>
      </c>
      <c r="E268">
        <v>1918610000</v>
      </c>
      <c r="F268">
        <v>65920000</v>
      </c>
      <c r="G268">
        <v>4271</v>
      </c>
      <c r="H268">
        <v>4.1399999999999999E-2</v>
      </c>
      <c r="I268" t="b">
        <v>0</v>
      </c>
      <c r="J268">
        <v>2016</v>
      </c>
      <c r="K268" t="s">
        <v>25</v>
      </c>
      <c r="L268" t="s">
        <v>12</v>
      </c>
      <c r="M268">
        <v>8.02</v>
      </c>
      <c r="N268">
        <v>15434</v>
      </c>
      <c r="O268">
        <v>9</v>
      </c>
    </row>
    <row r="269" spans="1:15" x14ac:dyDescent="0.25">
      <c r="A269" t="s">
        <v>57</v>
      </c>
      <c r="B269" t="s">
        <v>22</v>
      </c>
      <c r="C269">
        <v>1</v>
      </c>
      <c r="D269">
        <v>20620000</v>
      </c>
      <c r="E269">
        <v>108470000</v>
      </c>
      <c r="F269">
        <v>69570000</v>
      </c>
      <c r="G269">
        <v>1306</v>
      </c>
      <c r="H269">
        <v>9.5699999999999993E-2</v>
      </c>
      <c r="I269" t="b">
        <v>0</v>
      </c>
      <c r="J269">
        <v>2013</v>
      </c>
      <c r="K269" t="s">
        <v>15</v>
      </c>
      <c r="L269" t="s">
        <v>12</v>
      </c>
      <c r="M269">
        <v>5.26</v>
      </c>
      <c r="N269">
        <v>53270</v>
      </c>
      <c r="O269">
        <v>12</v>
      </c>
    </row>
    <row r="270" spans="1:15" x14ac:dyDescent="0.25">
      <c r="A270" t="s">
        <v>364</v>
      </c>
      <c r="B270" t="s">
        <v>14</v>
      </c>
      <c r="C270">
        <v>5</v>
      </c>
      <c r="D270">
        <v>88600000</v>
      </c>
      <c r="E270">
        <v>1106090000</v>
      </c>
      <c r="F270">
        <v>25310000</v>
      </c>
      <c r="G270">
        <v>744</v>
      </c>
      <c r="H270">
        <v>4.7500000000000001E-2</v>
      </c>
      <c r="I270" t="b">
        <v>1</v>
      </c>
      <c r="J270">
        <v>2012</v>
      </c>
      <c r="K270" t="s">
        <v>11</v>
      </c>
      <c r="L270" t="s">
        <v>12</v>
      </c>
      <c r="M270">
        <v>12.48</v>
      </c>
      <c r="N270">
        <v>34019</v>
      </c>
      <c r="O270">
        <v>13</v>
      </c>
    </row>
    <row r="271" spans="1:15" x14ac:dyDescent="0.25">
      <c r="A271" t="s">
        <v>365</v>
      </c>
      <c r="B271" t="s">
        <v>10</v>
      </c>
      <c r="C271">
        <v>4</v>
      </c>
      <c r="D271">
        <v>273590000</v>
      </c>
      <c r="E271">
        <v>2732010000</v>
      </c>
      <c r="F271">
        <v>22100000</v>
      </c>
      <c r="G271">
        <v>1406</v>
      </c>
      <c r="H271">
        <v>3.8E-3</v>
      </c>
      <c r="I271" t="b">
        <v>1</v>
      </c>
      <c r="J271">
        <v>2003</v>
      </c>
      <c r="K271" t="s">
        <v>15</v>
      </c>
      <c r="L271" t="s">
        <v>23</v>
      </c>
      <c r="M271">
        <v>9.99</v>
      </c>
      <c r="N271">
        <v>15718</v>
      </c>
      <c r="O271">
        <v>22</v>
      </c>
    </row>
    <row r="272" spans="1:15" x14ac:dyDescent="0.25">
      <c r="A272" t="s">
        <v>366</v>
      </c>
      <c r="B272" t="s">
        <v>18</v>
      </c>
      <c r="C272">
        <v>4</v>
      </c>
      <c r="D272">
        <v>290270000</v>
      </c>
      <c r="E272">
        <v>3242810000</v>
      </c>
      <c r="F272">
        <v>48890000</v>
      </c>
      <c r="G272">
        <v>3264</v>
      </c>
      <c r="H272">
        <v>2.18E-2</v>
      </c>
      <c r="I272" t="b">
        <v>1</v>
      </c>
      <c r="J272">
        <v>2004</v>
      </c>
      <c r="K272" t="s">
        <v>29</v>
      </c>
      <c r="L272" t="s">
        <v>12</v>
      </c>
      <c r="M272">
        <v>11.17</v>
      </c>
      <c r="N272">
        <v>14979</v>
      </c>
      <c r="O272">
        <v>21</v>
      </c>
    </row>
    <row r="273" spans="1:15" x14ac:dyDescent="0.25">
      <c r="A273" t="s">
        <v>367</v>
      </c>
      <c r="B273" t="s">
        <v>22</v>
      </c>
      <c r="C273">
        <v>5</v>
      </c>
      <c r="D273">
        <v>56040000</v>
      </c>
      <c r="E273">
        <v>295690000</v>
      </c>
      <c r="F273">
        <v>73780000</v>
      </c>
      <c r="G273">
        <v>2282</v>
      </c>
      <c r="H273">
        <v>2.8799999999999999E-2</v>
      </c>
      <c r="I273" t="b">
        <v>1</v>
      </c>
      <c r="J273">
        <v>2022</v>
      </c>
      <c r="K273" t="s">
        <v>15</v>
      </c>
      <c r="L273" t="s">
        <v>12</v>
      </c>
      <c r="M273">
        <v>5.28</v>
      </c>
      <c r="N273">
        <v>32331</v>
      </c>
      <c r="O273">
        <v>3</v>
      </c>
    </row>
    <row r="274" spans="1:15" x14ac:dyDescent="0.25">
      <c r="A274" t="s">
        <v>368</v>
      </c>
      <c r="B274" t="s">
        <v>10</v>
      </c>
      <c r="C274">
        <v>2</v>
      </c>
      <c r="D274">
        <v>138900000</v>
      </c>
      <c r="E274">
        <v>1448360000</v>
      </c>
      <c r="F274">
        <v>52570000</v>
      </c>
      <c r="G274">
        <v>3909</v>
      </c>
      <c r="H274">
        <v>7.1599999999999997E-2</v>
      </c>
      <c r="I274" t="b">
        <v>1</v>
      </c>
      <c r="J274">
        <v>2020</v>
      </c>
      <c r="K274" t="s">
        <v>11</v>
      </c>
      <c r="L274" t="s">
        <v>12</v>
      </c>
      <c r="M274">
        <v>10.43</v>
      </c>
      <c r="N274">
        <v>13448</v>
      </c>
      <c r="O274">
        <v>5</v>
      </c>
    </row>
    <row r="275" spans="1:15" x14ac:dyDescent="0.25">
      <c r="A275" t="s">
        <v>369</v>
      </c>
      <c r="B275" t="s">
        <v>14</v>
      </c>
      <c r="C275">
        <v>3</v>
      </c>
      <c r="D275">
        <v>870000</v>
      </c>
      <c r="E275">
        <v>5990000</v>
      </c>
      <c r="F275">
        <v>3360000</v>
      </c>
      <c r="G275">
        <v>3928</v>
      </c>
      <c r="H275">
        <v>2.0999999999999999E-3</v>
      </c>
      <c r="I275" t="b">
        <v>0</v>
      </c>
      <c r="J275">
        <v>2006</v>
      </c>
      <c r="K275" t="s">
        <v>15</v>
      </c>
      <c r="L275" t="s">
        <v>12</v>
      </c>
      <c r="M275">
        <v>6.89</v>
      </c>
      <c r="N275">
        <v>855</v>
      </c>
      <c r="O275">
        <v>19</v>
      </c>
    </row>
    <row r="276" spans="1:15" x14ac:dyDescent="0.25">
      <c r="A276" t="s">
        <v>370</v>
      </c>
      <c r="B276" t="s">
        <v>14</v>
      </c>
      <c r="C276">
        <v>3</v>
      </c>
      <c r="D276">
        <v>179700000</v>
      </c>
      <c r="E276">
        <v>2338190000</v>
      </c>
      <c r="F276">
        <v>86870000</v>
      </c>
      <c r="G276">
        <v>4219</v>
      </c>
      <c r="H276">
        <v>4.1500000000000002E-2</v>
      </c>
      <c r="I276" t="b">
        <v>0</v>
      </c>
      <c r="J276">
        <v>2017</v>
      </c>
      <c r="K276" t="s">
        <v>25</v>
      </c>
      <c r="L276" t="s">
        <v>12</v>
      </c>
      <c r="M276">
        <v>13.01</v>
      </c>
      <c r="N276">
        <v>20590</v>
      </c>
      <c r="O276">
        <v>8</v>
      </c>
    </row>
    <row r="277" spans="1:15" x14ac:dyDescent="0.25">
      <c r="A277" t="s">
        <v>371</v>
      </c>
      <c r="B277" t="s">
        <v>31</v>
      </c>
      <c r="C277">
        <v>3</v>
      </c>
      <c r="D277">
        <v>182390000</v>
      </c>
      <c r="E277">
        <v>1924500000</v>
      </c>
      <c r="F277">
        <v>6560000</v>
      </c>
      <c r="G277">
        <v>3232</v>
      </c>
      <c r="H277">
        <v>9.2499999999999999E-2</v>
      </c>
      <c r="I277" t="b">
        <v>0</v>
      </c>
      <c r="J277">
        <v>2008</v>
      </c>
      <c r="K277" t="s">
        <v>25</v>
      </c>
      <c r="L277" t="s">
        <v>12</v>
      </c>
      <c r="M277">
        <v>10.55</v>
      </c>
      <c r="N277">
        <v>2030</v>
      </c>
      <c r="O277">
        <v>17</v>
      </c>
    </row>
    <row r="278" spans="1:15" x14ac:dyDescent="0.25">
      <c r="A278" t="s">
        <v>372</v>
      </c>
      <c r="B278" t="s">
        <v>31</v>
      </c>
      <c r="C278">
        <v>4</v>
      </c>
      <c r="D278">
        <v>74640000</v>
      </c>
      <c r="E278">
        <v>402030000</v>
      </c>
      <c r="F278">
        <v>95590000</v>
      </c>
      <c r="G278">
        <v>2836</v>
      </c>
      <c r="H278">
        <v>1.21E-2</v>
      </c>
      <c r="I278" t="b">
        <v>1</v>
      </c>
      <c r="J278">
        <v>2012</v>
      </c>
      <c r="K278" t="s">
        <v>11</v>
      </c>
      <c r="L278" t="s">
        <v>12</v>
      </c>
      <c r="M278">
        <v>5.39</v>
      </c>
      <c r="N278">
        <v>33706</v>
      </c>
      <c r="O278">
        <v>13</v>
      </c>
    </row>
    <row r="279" spans="1:15" x14ac:dyDescent="0.25">
      <c r="A279" t="s">
        <v>373</v>
      </c>
      <c r="B279" t="s">
        <v>10</v>
      </c>
      <c r="C279">
        <v>4</v>
      </c>
      <c r="D279">
        <v>167740000</v>
      </c>
      <c r="E279">
        <v>633290000</v>
      </c>
      <c r="F279">
        <v>2610000</v>
      </c>
      <c r="G279">
        <v>3763</v>
      </c>
      <c r="H279">
        <v>5.21E-2</v>
      </c>
      <c r="I279" t="b">
        <v>1</v>
      </c>
      <c r="J279">
        <v>2021</v>
      </c>
      <c r="K279" t="s">
        <v>38</v>
      </c>
      <c r="L279" t="s">
        <v>20</v>
      </c>
      <c r="M279">
        <v>3.78</v>
      </c>
      <c r="N279">
        <v>694</v>
      </c>
      <c r="O279">
        <v>4</v>
      </c>
    </row>
    <row r="280" spans="1:15" x14ac:dyDescent="0.25">
      <c r="A280" t="s">
        <v>58</v>
      </c>
      <c r="B280" t="s">
        <v>27</v>
      </c>
      <c r="C280">
        <v>2</v>
      </c>
      <c r="D280">
        <v>121870000</v>
      </c>
      <c r="E280">
        <v>1434400000</v>
      </c>
      <c r="F280">
        <v>74620000</v>
      </c>
      <c r="G280">
        <v>4168</v>
      </c>
      <c r="H280">
        <v>1.5699999999999999E-2</v>
      </c>
      <c r="I280" t="b">
        <v>1</v>
      </c>
      <c r="J280">
        <v>2006</v>
      </c>
      <c r="K280" t="s">
        <v>25</v>
      </c>
      <c r="L280" t="s">
        <v>12</v>
      </c>
      <c r="M280">
        <v>11.77</v>
      </c>
      <c r="N280">
        <v>17903</v>
      </c>
      <c r="O280">
        <v>19</v>
      </c>
    </row>
    <row r="281" spans="1:15" x14ac:dyDescent="0.25">
      <c r="A281" t="s">
        <v>374</v>
      </c>
      <c r="B281" t="s">
        <v>36</v>
      </c>
      <c r="C281">
        <v>2</v>
      </c>
      <c r="D281">
        <v>68050000</v>
      </c>
      <c r="E281">
        <v>238960000</v>
      </c>
      <c r="F281">
        <v>69480000</v>
      </c>
      <c r="G281">
        <v>2517</v>
      </c>
      <c r="H281">
        <v>7.8899999999999998E-2</v>
      </c>
      <c r="I281" t="b">
        <v>0</v>
      </c>
      <c r="J281">
        <v>2002</v>
      </c>
      <c r="K281" t="s">
        <v>25</v>
      </c>
      <c r="L281" t="s">
        <v>12</v>
      </c>
      <c r="M281">
        <v>3.51</v>
      </c>
      <c r="N281">
        <v>27604</v>
      </c>
      <c r="O281">
        <v>23</v>
      </c>
    </row>
    <row r="282" spans="1:15" x14ac:dyDescent="0.25">
      <c r="A282" t="s">
        <v>375</v>
      </c>
      <c r="B282" t="s">
        <v>10</v>
      </c>
      <c r="C282">
        <v>3</v>
      </c>
      <c r="D282">
        <v>48670000</v>
      </c>
      <c r="E282">
        <v>362930000</v>
      </c>
      <c r="F282">
        <v>8310000</v>
      </c>
      <c r="G282">
        <v>2156</v>
      </c>
      <c r="H282">
        <v>9.4299999999999995E-2</v>
      </c>
      <c r="I282" t="b">
        <v>1</v>
      </c>
      <c r="J282">
        <v>2009</v>
      </c>
      <c r="K282" t="s">
        <v>29</v>
      </c>
      <c r="L282" t="s">
        <v>12</v>
      </c>
      <c r="M282">
        <v>7.46</v>
      </c>
      <c r="N282">
        <v>3854</v>
      </c>
      <c r="O282">
        <v>16</v>
      </c>
    </row>
    <row r="283" spans="1:15" x14ac:dyDescent="0.25">
      <c r="A283" t="s">
        <v>376</v>
      </c>
      <c r="B283" t="s">
        <v>31</v>
      </c>
      <c r="C283">
        <v>3</v>
      </c>
      <c r="D283">
        <v>195630000</v>
      </c>
      <c r="E283">
        <v>1210990000</v>
      </c>
      <c r="F283">
        <v>91080000</v>
      </c>
      <c r="G283">
        <v>3680</v>
      </c>
      <c r="H283">
        <v>7.4899999999999994E-2</v>
      </c>
      <c r="I283" t="b">
        <v>1</v>
      </c>
      <c r="J283">
        <v>1994</v>
      </c>
      <c r="K283" t="s">
        <v>11</v>
      </c>
      <c r="L283" t="s">
        <v>12</v>
      </c>
      <c r="M283">
        <v>6.19</v>
      </c>
      <c r="N283">
        <v>24750</v>
      </c>
      <c r="O283">
        <v>31</v>
      </c>
    </row>
    <row r="284" spans="1:15" x14ac:dyDescent="0.25">
      <c r="A284" t="s">
        <v>377</v>
      </c>
      <c r="B284" t="s">
        <v>14</v>
      </c>
      <c r="C284">
        <v>5</v>
      </c>
      <c r="D284">
        <v>98110000</v>
      </c>
      <c r="E284">
        <v>1054980000</v>
      </c>
      <c r="F284">
        <v>46500000</v>
      </c>
      <c r="G284">
        <v>2750</v>
      </c>
      <c r="H284">
        <v>7.2300000000000003E-2</v>
      </c>
      <c r="I284" t="b">
        <v>1</v>
      </c>
      <c r="J284">
        <v>1998</v>
      </c>
      <c r="K284" t="s">
        <v>15</v>
      </c>
      <c r="L284" t="s">
        <v>20</v>
      </c>
      <c r="M284">
        <v>10.75</v>
      </c>
      <c r="N284">
        <v>16909</v>
      </c>
      <c r="O284">
        <v>27</v>
      </c>
    </row>
    <row r="285" spans="1:15" x14ac:dyDescent="0.25">
      <c r="A285" t="s">
        <v>378</v>
      </c>
      <c r="B285" t="s">
        <v>27</v>
      </c>
      <c r="C285">
        <v>4</v>
      </c>
      <c r="D285">
        <v>177280000</v>
      </c>
      <c r="E285">
        <v>1594100000</v>
      </c>
      <c r="F285">
        <v>13840000</v>
      </c>
      <c r="G285">
        <v>3871</v>
      </c>
      <c r="H285">
        <v>8.2799999999999999E-2</v>
      </c>
      <c r="I285" t="b">
        <v>0</v>
      </c>
      <c r="J285">
        <v>2018</v>
      </c>
      <c r="K285" t="s">
        <v>15</v>
      </c>
      <c r="L285" t="s">
        <v>12</v>
      </c>
      <c r="M285">
        <v>8.99</v>
      </c>
      <c r="N285">
        <v>3575</v>
      </c>
      <c r="O285">
        <v>7</v>
      </c>
    </row>
    <row r="286" spans="1:15" x14ac:dyDescent="0.25">
      <c r="A286" t="s">
        <v>379</v>
      </c>
      <c r="B286" t="s">
        <v>10</v>
      </c>
      <c r="C286">
        <v>3</v>
      </c>
      <c r="D286">
        <v>130260000</v>
      </c>
      <c r="E286">
        <v>806600000</v>
      </c>
      <c r="F286">
        <v>34150000</v>
      </c>
      <c r="G286">
        <v>3769</v>
      </c>
      <c r="H286">
        <v>4.5199999999999997E-2</v>
      </c>
      <c r="I286" t="b">
        <v>0</v>
      </c>
      <c r="J286">
        <v>1995</v>
      </c>
      <c r="K286" t="s">
        <v>29</v>
      </c>
      <c r="L286" t="s">
        <v>12</v>
      </c>
      <c r="M286">
        <v>6.19</v>
      </c>
      <c r="N286">
        <v>9061</v>
      </c>
      <c r="O286">
        <v>30</v>
      </c>
    </row>
    <row r="287" spans="1:15" x14ac:dyDescent="0.25">
      <c r="A287" t="s">
        <v>380</v>
      </c>
      <c r="B287" t="s">
        <v>14</v>
      </c>
      <c r="C287">
        <v>2</v>
      </c>
      <c r="D287">
        <v>295310000</v>
      </c>
      <c r="E287">
        <v>1414790000</v>
      </c>
      <c r="F287">
        <v>16570000</v>
      </c>
      <c r="G287">
        <v>2227</v>
      </c>
      <c r="H287">
        <v>8.0799999999999997E-2</v>
      </c>
      <c r="I287" t="b">
        <v>0</v>
      </c>
      <c r="J287">
        <v>2014</v>
      </c>
      <c r="K287" t="s">
        <v>25</v>
      </c>
      <c r="L287" t="s">
        <v>12</v>
      </c>
      <c r="M287">
        <v>4.79</v>
      </c>
      <c r="N287">
        <v>7441</v>
      </c>
      <c r="O287">
        <v>11</v>
      </c>
    </row>
    <row r="288" spans="1:15" x14ac:dyDescent="0.25">
      <c r="A288" t="s">
        <v>381</v>
      </c>
      <c r="B288" t="s">
        <v>27</v>
      </c>
      <c r="C288">
        <v>2</v>
      </c>
      <c r="D288">
        <v>45300000</v>
      </c>
      <c r="E288">
        <v>205050000</v>
      </c>
      <c r="F288">
        <v>17140000</v>
      </c>
      <c r="G288">
        <v>2797</v>
      </c>
      <c r="H288">
        <v>1.8E-3</v>
      </c>
      <c r="I288" t="b">
        <v>1</v>
      </c>
      <c r="J288">
        <v>2020</v>
      </c>
      <c r="K288" t="s">
        <v>11</v>
      </c>
      <c r="L288" t="s">
        <v>20</v>
      </c>
      <c r="M288">
        <v>4.53</v>
      </c>
      <c r="N288">
        <v>6128</v>
      </c>
      <c r="O288">
        <v>5</v>
      </c>
    </row>
    <row r="289" spans="1:15" x14ac:dyDescent="0.25">
      <c r="A289" t="s">
        <v>382</v>
      </c>
      <c r="B289" t="s">
        <v>27</v>
      </c>
      <c r="C289">
        <v>3</v>
      </c>
      <c r="D289">
        <v>139650000</v>
      </c>
      <c r="E289">
        <v>1867950000</v>
      </c>
      <c r="F289">
        <v>94820000</v>
      </c>
      <c r="G289">
        <v>1702</v>
      </c>
      <c r="H289">
        <v>9.2499999999999999E-2</v>
      </c>
      <c r="I289" t="b">
        <v>0</v>
      </c>
      <c r="J289">
        <v>2011</v>
      </c>
      <c r="K289" t="s">
        <v>29</v>
      </c>
      <c r="L289" t="s">
        <v>12</v>
      </c>
      <c r="M289">
        <v>13.38</v>
      </c>
      <c r="N289">
        <v>55711</v>
      </c>
      <c r="O289">
        <v>14</v>
      </c>
    </row>
    <row r="290" spans="1:15" x14ac:dyDescent="0.25">
      <c r="A290" t="s">
        <v>383</v>
      </c>
      <c r="B290" t="s">
        <v>31</v>
      </c>
      <c r="C290">
        <v>4</v>
      </c>
      <c r="D290">
        <v>204300000</v>
      </c>
      <c r="E290">
        <v>1209810000</v>
      </c>
      <c r="F290">
        <v>44580000</v>
      </c>
      <c r="G290">
        <v>3467</v>
      </c>
      <c r="H290">
        <v>4.4900000000000002E-2</v>
      </c>
      <c r="I290" t="b">
        <v>0</v>
      </c>
      <c r="J290">
        <v>1991</v>
      </c>
      <c r="K290" t="s">
        <v>25</v>
      </c>
      <c r="L290" t="s">
        <v>12</v>
      </c>
      <c r="M290">
        <v>5.92</v>
      </c>
      <c r="N290">
        <v>12858</v>
      </c>
      <c r="O290">
        <v>34</v>
      </c>
    </row>
    <row r="291" spans="1:15" x14ac:dyDescent="0.25">
      <c r="A291" t="s">
        <v>59</v>
      </c>
      <c r="B291" t="s">
        <v>36</v>
      </c>
      <c r="C291">
        <v>1</v>
      </c>
      <c r="D291">
        <v>149490000</v>
      </c>
      <c r="E291">
        <v>728610000</v>
      </c>
      <c r="F291">
        <v>98200000</v>
      </c>
      <c r="G291">
        <v>3145</v>
      </c>
      <c r="H291">
        <v>6.83E-2</v>
      </c>
      <c r="I291" t="b">
        <v>0</v>
      </c>
      <c r="J291">
        <v>1996</v>
      </c>
      <c r="K291" t="s">
        <v>15</v>
      </c>
      <c r="L291" t="s">
        <v>12</v>
      </c>
      <c r="M291">
        <v>4.87</v>
      </c>
      <c r="N291">
        <v>31224</v>
      </c>
      <c r="O291">
        <v>29</v>
      </c>
    </row>
    <row r="292" spans="1:15" x14ac:dyDescent="0.25">
      <c r="A292" t="s">
        <v>384</v>
      </c>
      <c r="B292" t="s">
        <v>10</v>
      </c>
      <c r="C292">
        <v>2</v>
      </c>
      <c r="D292">
        <v>118970000</v>
      </c>
      <c r="E292">
        <v>1287320000</v>
      </c>
      <c r="F292">
        <v>78900000</v>
      </c>
      <c r="G292">
        <v>4068</v>
      </c>
      <c r="H292">
        <v>5.5800000000000002E-2</v>
      </c>
      <c r="I292" t="b">
        <v>1</v>
      </c>
      <c r="J292">
        <v>1994</v>
      </c>
      <c r="K292" t="s">
        <v>11</v>
      </c>
      <c r="L292" t="s">
        <v>12</v>
      </c>
      <c r="M292">
        <v>10.82</v>
      </c>
      <c r="N292">
        <v>19395</v>
      </c>
      <c r="O292">
        <v>31</v>
      </c>
    </row>
    <row r="293" spans="1:15" x14ac:dyDescent="0.25">
      <c r="A293" t="s">
        <v>385</v>
      </c>
      <c r="B293" t="s">
        <v>72</v>
      </c>
      <c r="C293">
        <v>5</v>
      </c>
      <c r="D293">
        <v>292420000</v>
      </c>
      <c r="E293">
        <v>3721990000</v>
      </c>
      <c r="F293">
        <v>64000000</v>
      </c>
      <c r="G293">
        <v>1529</v>
      </c>
      <c r="H293">
        <v>2.6200000000000001E-2</v>
      </c>
      <c r="I293" t="b">
        <v>1</v>
      </c>
      <c r="J293">
        <v>2016</v>
      </c>
      <c r="K293" t="s">
        <v>15</v>
      </c>
      <c r="L293" t="s">
        <v>23</v>
      </c>
      <c r="M293">
        <v>12.73</v>
      </c>
      <c r="N293">
        <v>41857</v>
      </c>
      <c r="O293">
        <v>9</v>
      </c>
    </row>
    <row r="294" spans="1:15" x14ac:dyDescent="0.25">
      <c r="A294" t="s">
        <v>386</v>
      </c>
      <c r="B294" t="s">
        <v>22</v>
      </c>
      <c r="C294">
        <v>2</v>
      </c>
      <c r="D294">
        <v>216710000</v>
      </c>
      <c r="E294">
        <v>2247060000</v>
      </c>
      <c r="F294">
        <v>67670000</v>
      </c>
      <c r="G294">
        <v>4765</v>
      </c>
      <c r="H294">
        <v>7.4499999999999997E-2</v>
      </c>
      <c r="I294" t="b">
        <v>1</v>
      </c>
      <c r="J294">
        <v>2014</v>
      </c>
      <c r="K294" t="s">
        <v>11</v>
      </c>
      <c r="L294" t="s">
        <v>12</v>
      </c>
      <c r="M294">
        <v>10.37</v>
      </c>
      <c r="N294">
        <v>14201</v>
      </c>
      <c r="O294">
        <v>11</v>
      </c>
    </row>
    <row r="295" spans="1:15" x14ac:dyDescent="0.25">
      <c r="A295" t="s">
        <v>387</v>
      </c>
      <c r="B295" t="s">
        <v>31</v>
      </c>
      <c r="C295">
        <v>1</v>
      </c>
      <c r="D295">
        <v>197270000</v>
      </c>
      <c r="E295">
        <v>2626610000</v>
      </c>
      <c r="F295">
        <v>13260000</v>
      </c>
      <c r="G295">
        <v>37</v>
      </c>
      <c r="H295">
        <v>8.6E-3</v>
      </c>
      <c r="I295" t="b">
        <v>0</v>
      </c>
      <c r="J295">
        <v>1997</v>
      </c>
      <c r="K295" t="s">
        <v>38</v>
      </c>
      <c r="L295" t="s">
        <v>12</v>
      </c>
      <c r="M295">
        <v>13.31</v>
      </c>
      <c r="N295">
        <v>358378</v>
      </c>
      <c r="O295">
        <v>28</v>
      </c>
    </row>
    <row r="296" spans="1:15" x14ac:dyDescent="0.25">
      <c r="A296" t="s">
        <v>388</v>
      </c>
      <c r="B296" t="s">
        <v>31</v>
      </c>
      <c r="C296">
        <v>1</v>
      </c>
      <c r="D296">
        <v>227240000</v>
      </c>
      <c r="E296">
        <v>1751730000</v>
      </c>
      <c r="F296">
        <v>23500000</v>
      </c>
      <c r="G296">
        <v>4030</v>
      </c>
      <c r="H296">
        <v>8.7400000000000005E-2</v>
      </c>
      <c r="I296" t="b">
        <v>0</v>
      </c>
      <c r="J296">
        <v>1990</v>
      </c>
      <c r="K296" t="s">
        <v>11</v>
      </c>
      <c r="L296" t="s">
        <v>20</v>
      </c>
      <c r="M296">
        <v>7.71</v>
      </c>
      <c r="N296">
        <v>5831</v>
      </c>
      <c r="O296">
        <v>35</v>
      </c>
    </row>
    <row r="297" spans="1:15" x14ac:dyDescent="0.25">
      <c r="A297" t="s">
        <v>389</v>
      </c>
      <c r="B297" t="s">
        <v>72</v>
      </c>
      <c r="C297">
        <v>4</v>
      </c>
      <c r="D297">
        <v>285820000</v>
      </c>
      <c r="E297">
        <v>4137150000</v>
      </c>
      <c r="F297">
        <v>78700000</v>
      </c>
      <c r="G297">
        <v>2571</v>
      </c>
      <c r="H297">
        <v>8.3000000000000004E-2</v>
      </c>
      <c r="I297" t="b">
        <v>1</v>
      </c>
      <c r="J297">
        <v>2009</v>
      </c>
      <c r="K297" t="s">
        <v>38</v>
      </c>
      <c r="L297" t="s">
        <v>20</v>
      </c>
      <c r="M297">
        <v>14.47</v>
      </c>
      <c r="N297">
        <v>30611</v>
      </c>
      <c r="O297">
        <v>16</v>
      </c>
    </row>
    <row r="298" spans="1:15" x14ac:dyDescent="0.25">
      <c r="A298" t="s">
        <v>390</v>
      </c>
      <c r="B298" t="s">
        <v>22</v>
      </c>
      <c r="C298">
        <v>3</v>
      </c>
      <c r="D298">
        <v>272390000</v>
      </c>
      <c r="E298">
        <v>1252380000</v>
      </c>
      <c r="F298">
        <v>97080000</v>
      </c>
      <c r="G298">
        <v>2808</v>
      </c>
      <c r="H298">
        <v>2.24E-2</v>
      </c>
      <c r="I298" t="b">
        <v>0</v>
      </c>
      <c r="J298">
        <v>2012</v>
      </c>
      <c r="K298" t="s">
        <v>11</v>
      </c>
      <c r="L298" t="s">
        <v>12</v>
      </c>
      <c r="M298">
        <v>4.5999999999999996</v>
      </c>
      <c r="N298">
        <v>34573</v>
      </c>
      <c r="O298">
        <v>13</v>
      </c>
    </row>
    <row r="299" spans="1:15" x14ac:dyDescent="0.25">
      <c r="A299" t="s">
        <v>391</v>
      </c>
      <c r="B299" t="s">
        <v>14</v>
      </c>
      <c r="C299">
        <v>4</v>
      </c>
      <c r="D299">
        <v>217420000</v>
      </c>
      <c r="E299">
        <v>918770000</v>
      </c>
      <c r="F299">
        <v>26340000</v>
      </c>
      <c r="G299">
        <v>3901</v>
      </c>
      <c r="H299">
        <v>8.1100000000000005E-2</v>
      </c>
      <c r="I299" t="b">
        <v>0</v>
      </c>
      <c r="J299">
        <v>2021</v>
      </c>
      <c r="K299" t="s">
        <v>38</v>
      </c>
      <c r="L299" t="s">
        <v>23</v>
      </c>
      <c r="M299">
        <v>4.2300000000000004</v>
      </c>
      <c r="N299">
        <v>6752</v>
      </c>
      <c r="O299">
        <v>4</v>
      </c>
    </row>
    <row r="300" spans="1:15" x14ac:dyDescent="0.25">
      <c r="A300" t="s">
        <v>392</v>
      </c>
      <c r="B300" t="s">
        <v>36</v>
      </c>
      <c r="C300">
        <v>4</v>
      </c>
      <c r="D300">
        <v>224870000</v>
      </c>
      <c r="E300">
        <v>2452050000</v>
      </c>
      <c r="F300">
        <v>27230000</v>
      </c>
      <c r="G300">
        <v>3714</v>
      </c>
      <c r="H300">
        <v>7.8799999999999995E-2</v>
      </c>
      <c r="I300" t="b">
        <v>0</v>
      </c>
      <c r="J300">
        <v>2000</v>
      </c>
      <c r="K300" t="s">
        <v>15</v>
      </c>
      <c r="L300" t="s">
        <v>20</v>
      </c>
      <c r="M300">
        <v>10.9</v>
      </c>
      <c r="N300">
        <v>7332</v>
      </c>
      <c r="O300">
        <v>25</v>
      </c>
    </row>
    <row r="301" spans="1:15" x14ac:dyDescent="0.25">
      <c r="A301" t="s">
        <v>393</v>
      </c>
      <c r="B301" t="s">
        <v>10</v>
      </c>
      <c r="C301">
        <v>4</v>
      </c>
      <c r="D301">
        <v>44200000</v>
      </c>
      <c r="E301">
        <v>632680000</v>
      </c>
      <c r="F301">
        <v>47340000</v>
      </c>
      <c r="G301">
        <v>724</v>
      </c>
      <c r="H301">
        <v>6.3600000000000004E-2</v>
      </c>
      <c r="I301" t="b">
        <v>0</v>
      </c>
      <c r="J301">
        <v>2013</v>
      </c>
      <c r="K301" t="s">
        <v>25</v>
      </c>
      <c r="L301" t="s">
        <v>12</v>
      </c>
      <c r="M301">
        <v>14.31</v>
      </c>
      <c r="N301">
        <v>65387</v>
      </c>
      <c r="O301">
        <v>12</v>
      </c>
    </row>
    <row r="302" spans="1:15" x14ac:dyDescent="0.25">
      <c r="A302" t="s">
        <v>60</v>
      </c>
      <c r="B302" t="s">
        <v>18</v>
      </c>
      <c r="C302">
        <v>3</v>
      </c>
      <c r="D302">
        <v>216200000</v>
      </c>
      <c r="E302">
        <v>1257150000</v>
      </c>
      <c r="F302">
        <v>21060000</v>
      </c>
      <c r="G302">
        <v>3241</v>
      </c>
      <c r="H302">
        <v>2.3300000000000001E-2</v>
      </c>
      <c r="I302" t="b">
        <v>0</v>
      </c>
      <c r="J302">
        <v>1990</v>
      </c>
      <c r="K302" t="s">
        <v>11</v>
      </c>
      <c r="L302" t="s">
        <v>12</v>
      </c>
      <c r="M302">
        <v>5.81</v>
      </c>
      <c r="N302">
        <v>6498</v>
      </c>
      <c r="O302">
        <v>35</v>
      </c>
    </row>
    <row r="303" spans="1:15" x14ac:dyDescent="0.25">
      <c r="A303" t="s">
        <v>394</v>
      </c>
      <c r="B303" t="s">
        <v>36</v>
      </c>
      <c r="C303">
        <v>4</v>
      </c>
      <c r="D303">
        <v>31290000</v>
      </c>
      <c r="E303">
        <v>397590000</v>
      </c>
      <c r="F303">
        <v>98390000</v>
      </c>
      <c r="G303">
        <v>4584</v>
      </c>
      <c r="H303">
        <v>3.7999999999999999E-2</v>
      </c>
      <c r="I303" t="b">
        <v>0</v>
      </c>
      <c r="J303">
        <v>2000</v>
      </c>
      <c r="K303" t="s">
        <v>38</v>
      </c>
      <c r="L303" t="s">
        <v>12</v>
      </c>
      <c r="M303">
        <v>12.71</v>
      </c>
      <c r="N303">
        <v>21464</v>
      </c>
      <c r="O303">
        <v>25</v>
      </c>
    </row>
    <row r="304" spans="1:15" x14ac:dyDescent="0.25">
      <c r="A304" t="s">
        <v>395</v>
      </c>
      <c r="B304" t="s">
        <v>14</v>
      </c>
      <c r="C304">
        <v>5</v>
      </c>
      <c r="D304">
        <v>171490000</v>
      </c>
      <c r="E304">
        <v>671730000</v>
      </c>
      <c r="F304">
        <v>26970000</v>
      </c>
      <c r="G304">
        <v>977</v>
      </c>
      <c r="H304">
        <v>2.7900000000000001E-2</v>
      </c>
      <c r="I304" t="b">
        <v>0</v>
      </c>
      <c r="J304">
        <v>2018</v>
      </c>
      <c r="K304" t="s">
        <v>38</v>
      </c>
      <c r="L304" t="s">
        <v>20</v>
      </c>
      <c r="M304">
        <v>3.92</v>
      </c>
      <c r="N304">
        <v>27605</v>
      </c>
      <c r="O304">
        <v>7</v>
      </c>
    </row>
    <row r="305" spans="1:15" x14ac:dyDescent="0.25">
      <c r="A305" t="s">
        <v>396</v>
      </c>
      <c r="B305" t="s">
        <v>18</v>
      </c>
      <c r="C305">
        <v>5</v>
      </c>
      <c r="D305">
        <v>6000000</v>
      </c>
      <c r="E305">
        <v>38110000</v>
      </c>
      <c r="F305">
        <v>40760000</v>
      </c>
      <c r="G305">
        <v>3723</v>
      </c>
      <c r="H305">
        <v>2.3900000000000001E-2</v>
      </c>
      <c r="I305" t="b">
        <v>0</v>
      </c>
      <c r="J305">
        <v>2015</v>
      </c>
      <c r="K305" t="s">
        <v>15</v>
      </c>
      <c r="L305" t="s">
        <v>12</v>
      </c>
      <c r="M305">
        <v>6.35</v>
      </c>
      <c r="N305">
        <v>10948</v>
      </c>
      <c r="O305">
        <v>10</v>
      </c>
    </row>
    <row r="306" spans="1:15" x14ac:dyDescent="0.25">
      <c r="A306" t="s">
        <v>397</v>
      </c>
      <c r="B306" t="s">
        <v>31</v>
      </c>
      <c r="C306">
        <v>2</v>
      </c>
      <c r="D306">
        <v>144970000</v>
      </c>
      <c r="E306">
        <v>2053330000</v>
      </c>
      <c r="F306">
        <v>89160000</v>
      </c>
      <c r="G306">
        <v>4407</v>
      </c>
      <c r="H306">
        <v>3.2500000000000001E-2</v>
      </c>
      <c r="I306" t="b">
        <v>0</v>
      </c>
      <c r="J306">
        <v>2005</v>
      </c>
      <c r="K306" t="s">
        <v>38</v>
      </c>
      <c r="L306" t="s">
        <v>20</v>
      </c>
      <c r="M306">
        <v>14.16</v>
      </c>
      <c r="N306">
        <v>20231</v>
      </c>
      <c r="O306">
        <v>20</v>
      </c>
    </row>
    <row r="307" spans="1:15" x14ac:dyDescent="0.25">
      <c r="A307" t="s">
        <v>398</v>
      </c>
      <c r="B307" t="s">
        <v>22</v>
      </c>
      <c r="C307">
        <v>1</v>
      </c>
      <c r="D307">
        <v>63500000</v>
      </c>
      <c r="E307">
        <v>383330000</v>
      </c>
      <c r="F307">
        <v>390000</v>
      </c>
      <c r="G307">
        <v>4557</v>
      </c>
      <c r="H307">
        <v>9.0499999999999997E-2</v>
      </c>
      <c r="I307" t="b">
        <v>1</v>
      </c>
      <c r="J307">
        <v>2009</v>
      </c>
      <c r="K307" t="s">
        <v>29</v>
      </c>
      <c r="L307" t="s">
        <v>20</v>
      </c>
      <c r="M307">
        <v>6.04</v>
      </c>
      <c r="N307">
        <v>86</v>
      </c>
      <c r="O307">
        <v>16</v>
      </c>
    </row>
    <row r="308" spans="1:15" x14ac:dyDescent="0.25">
      <c r="A308" t="s">
        <v>399</v>
      </c>
      <c r="B308" t="s">
        <v>31</v>
      </c>
      <c r="C308">
        <v>4</v>
      </c>
      <c r="D308">
        <v>104130000</v>
      </c>
      <c r="E308">
        <v>1288510000</v>
      </c>
      <c r="F308">
        <v>4070000</v>
      </c>
      <c r="G308">
        <v>2212</v>
      </c>
      <c r="H308">
        <v>8.6999999999999994E-3</v>
      </c>
      <c r="I308" t="b">
        <v>0</v>
      </c>
      <c r="J308">
        <v>1992</v>
      </c>
      <c r="K308" t="s">
        <v>15</v>
      </c>
      <c r="L308" t="s">
        <v>20</v>
      </c>
      <c r="M308">
        <v>12.37</v>
      </c>
      <c r="N308">
        <v>1840</v>
      </c>
      <c r="O308">
        <v>33</v>
      </c>
    </row>
    <row r="309" spans="1:15" x14ac:dyDescent="0.25">
      <c r="A309" t="s">
        <v>400</v>
      </c>
      <c r="B309" t="s">
        <v>27</v>
      </c>
      <c r="C309">
        <v>2</v>
      </c>
      <c r="D309">
        <v>232850000</v>
      </c>
      <c r="E309">
        <v>3004130000</v>
      </c>
      <c r="F309">
        <v>60450000</v>
      </c>
      <c r="G309">
        <v>4431</v>
      </c>
      <c r="H309">
        <v>8.3099999999999993E-2</v>
      </c>
      <c r="I309" t="b">
        <v>1</v>
      </c>
      <c r="J309">
        <v>1990</v>
      </c>
      <c r="K309" t="s">
        <v>29</v>
      </c>
      <c r="L309" t="s">
        <v>12</v>
      </c>
      <c r="M309">
        <v>12.9</v>
      </c>
      <c r="N309">
        <v>13643</v>
      </c>
      <c r="O309">
        <v>35</v>
      </c>
    </row>
    <row r="310" spans="1:15" x14ac:dyDescent="0.25">
      <c r="A310" t="s">
        <v>401</v>
      </c>
      <c r="B310" t="s">
        <v>31</v>
      </c>
      <c r="C310">
        <v>1</v>
      </c>
      <c r="D310">
        <v>282400000</v>
      </c>
      <c r="E310">
        <v>2526190000</v>
      </c>
      <c r="F310">
        <v>90750000</v>
      </c>
      <c r="G310">
        <v>4325</v>
      </c>
      <c r="H310">
        <v>3.5499999999999997E-2</v>
      </c>
      <c r="I310" t="b">
        <v>0</v>
      </c>
      <c r="J310">
        <v>1990</v>
      </c>
      <c r="K310" t="s">
        <v>15</v>
      </c>
      <c r="L310" t="s">
        <v>20</v>
      </c>
      <c r="M310">
        <v>8.9499999999999993</v>
      </c>
      <c r="N310">
        <v>20983</v>
      </c>
      <c r="O310">
        <v>35</v>
      </c>
    </row>
    <row r="311" spans="1:15" x14ac:dyDescent="0.25">
      <c r="A311" t="s">
        <v>402</v>
      </c>
      <c r="B311" t="s">
        <v>31</v>
      </c>
      <c r="C311">
        <v>3</v>
      </c>
      <c r="D311">
        <v>22190000</v>
      </c>
      <c r="E311">
        <v>169450000</v>
      </c>
      <c r="F311">
        <v>23960000</v>
      </c>
      <c r="G311">
        <v>3035</v>
      </c>
      <c r="H311">
        <v>5.2600000000000001E-2</v>
      </c>
      <c r="I311" t="b">
        <v>0</v>
      </c>
      <c r="J311">
        <v>2006</v>
      </c>
      <c r="K311" t="s">
        <v>38</v>
      </c>
      <c r="L311" t="s">
        <v>20</v>
      </c>
      <c r="M311">
        <v>7.64</v>
      </c>
      <c r="N311">
        <v>7895</v>
      </c>
      <c r="O311">
        <v>19</v>
      </c>
    </row>
    <row r="312" spans="1:15" x14ac:dyDescent="0.25">
      <c r="A312" t="s">
        <v>403</v>
      </c>
      <c r="B312" t="s">
        <v>14</v>
      </c>
      <c r="C312">
        <v>5</v>
      </c>
      <c r="D312">
        <v>160510000</v>
      </c>
      <c r="E312">
        <v>1348520000</v>
      </c>
      <c r="F312">
        <v>47020000</v>
      </c>
      <c r="G312">
        <v>3580</v>
      </c>
      <c r="H312">
        <v>7.9699999999999993E-2</v>
      </c>
      <c r="I312" t="b">
        <v>1</v>
      </c>
      <c r="J312">
        <v>1991</v>
      </c>
      <c r="K312" t="s">
        <v>29</v>
      </c>
      <c r="L312" t="s">
        <v>12</v>
      </c>
      <c r="M312">
        <v>8.4</v>
      </c>
      <c r="N312">
        <v>13134</v>
      </c>
      <c r="O312">
        <v>34</v>
      </c>
    </row>
    <row r="313" spans="1:15" x14ac:dyDescent="0.25">
      <c r="A313" t="s">
        <v>61</v>
      </c>
      <c r="B313" t="s">
        <v>10</v>
      </c>
      <c r="C313">
        <v>1</v>
      </c>
      <c r="D313">
        <v>32420000</v>
      </c>
      <c r="E313">
        <v>472040000</v>
      </c>
      <c r="F313">
        <v>82530000</v>
      </c>
      <c r="G313">
        <v>2357</v>
      </c>
      <c r="H313">
        <v>4.3700000000000003E-2</v>
      </c>
      <c r="I313" t="b">
        <v>0</v>
      </c>
      <c r="J313">
        <v>2021</v>
      </c>
      <c r="K313" t="s">
        <v>38</v>
      </c>
      <c r="L313" t="s">
        <v>12</v>
      </c>
      <c r="M313">
        <v>14.56</v>
      </c>
      <c r="N313">
        <v>35015</v>
      </c>
      <c r="O313">
        <v>4</v>
      </c>
    </row>
    <row r="314" spans="1:15" x14ac:dyDescent="0.25">
      <c r="A314" t="s">
        <v>404</v>
      </c>
      <c r="B314" t="s">
        <v>14</v>
      </c>
      <c r="C314">
        <v>1</v>
      </c>
      <c r="D314">
        <v>264820000</v>
      </c>
      <c r="E314">
        <v>1515720000</v>
      </c>
      <c r="F314">
        <v>45100000</v>
      </c>
      <c r="G314">
        <v>3121</v>
      </c>
      <c r="H314">
        <v>8.8599999999999998E-2</v>
      </c>
      <c r="I314" t="b">
        <v>0</v>
      </c>
      <c r="J314">
        <v>2018</v>
      </c>
      <c r="K314" t="s">
        <v>38</v>
      </c>
      <c r="L314" t="s">
        <v>12</v>
      </c>
      <c r="M314">
        <v>5.72</v>
      </c>
      <c r="N314">
        <v>14450</v>
      </c>
      <c r="O314">
        <v>7</v>
      </c>
    </row>
    <row r="315" spans="1:15" x14ac:dyDescent="0.25">
      <c r="A315" t="s">
        <v>405</v>
      </c>
      <c r="B315" t="s">
        <v>14</v>
      </c>
      <c r="C315">
        <v>3</v>
      </c>
      <c r="D315">
        <v>25210000</v>
      </c>
      <c r="E315">
        <v>344690000</v>
      </c>
      <c r="F315">
        <v>47350000</v>
      </c>
      <c r="G315">
        <v>3290</v>
      </c>
      <c r="H315">
        <v>3.5099999999999999E-2</v>
      </c>
      <c r="I315" t="b">
        <v>0</v>
      </c>
      <c r="J315">
        <v>2009</v>
      </c>
      <c r="K315" t="s">
        <v>15</v>
      </c>
      <c r="L315" t="s">
        <v>23</v>
      </c>
      <c r="M315">
        <v>13.67</v>
      </c>
      <c r="N315">
        <v>14392</v>
      </c>
      <c r="O315">
        <v>16</v>
      </c>
    </row>
    <row r="316" spans="1:15" x14ac:dyDescent="0.25">
      <c r="A316" t="s">
        <v>406</v>
      </c>
      <c r="B316" t="s">
        <v>36</v>
      </c>
      <c r="C316">
        <v>1</v>
      </c>
      <c r="D316">
        <v>247440000</v>
      </c>
      <c r="E316">
        <v>2080340000</v>
      </c>
      <c r="F316">
        <v>62290000</v>
      </c>
      <c r="G316">
        <v>648</v>
      </c>
      <c r="H316">
        <v>4.6699999999999998E-2</v>
      </c>
      <c r="I316" t="b">
        <v>0</v>
      </c>
      <c r="J316">
        <v>1995</v>
      </c>
      <c r="K316" t="s">
        <v>38</v>
      </c>
      <c r="L316" t="s">
        <v>12</v>
      </c>
      <c r="M316">
        <v>8.41</v>
      </c>
      <c r="N316">
        <v>96127</v>
      </c>
      <c r="O316">
        <v>30</v>
      </c>
    </row>
    <row r="317" spans="1:15" x14ac:dyDescent="0.25">
      <c r="A317" t="s">
        <v>407</v>
      </c>
      <c r="B317" t="s">
        <v>27</v>
      </c>
      <c r="C317">
        <v>5</v>
      </c>
      <c r="D317">
        <v>107660000</v>
      </c>
      <c r="E317">
        <v>1463050000</v>
      </c>
      <c r="F317">
        <v>47030000</v>
      </c>
      <c r="G317">
        <v>4716</v>
      </c>
      <c r="H317">
        <v>4.2000000000000003E-2</v>
      </c>
      <c r="I317" t="b">
        <v>1</v>
      </c>
      <c r="J317">
        <v>1997</v>
      </c>
      <c r="K317" t="s">
        <v>29</v>
      </c>
      <c r="L317" t="s">
        <v>20</v>
      </c>
      <c r="M317">
        <v>13.59</v>
      </c>
      <c r="N317">
        <v>9972</v>
      </c>
      <c r="O317">
        <v>28</v>
      </c>
    </row>
    <row r="318" spans="1:15" x14ac:dyDescent="0.25">
      <c r="A318" t="s">
        <v>408</v>
      </c>
      <c r="B318" t="s">
        <v>18</v>
      </c>
      <c r="C318">
        <v>5</v>
      </c>
      <c r="D318">
        <v>96970000</v>
      </c>
      <c r="E318">
        <v>413900000</v>
      </c>
      <c r="F318">
        <v>44800000</v>
      </c>
      <c r="G318">
        <v>199</v>
      </c>
      <c r="H318">
        <v>2.3E-3</v>
      </c>
      <c r="I318" t="b">
        <v>0</v>
      </c>
      <c r="J318">
        <v>2018</v>
      </c>
      <c r="K318" t="s">
        <v>29</v>
      </c>
      <c r="L318" t="s">
        <v>12</v>
      </c>
      <c r="M318">
        <v>4.2699999999999996</v>
      </c>
      <c r="N318">
        <v>225126</v>
      </c>
      <c r="O318">
        <v>7</v>
      </c>
    </row>
    <row r="319" spans="1:15" x14ac:dyDescent="0.25">
      <c r="A319" t="s">
        <v>409</v>
      </c>
      <c r="B319" t="s">
        <v>18</v>
      </c>
      <c r="C319">
        <v>2</v>
      </c>
      <c r="D319">
        <v>293250000</v>
      </c>
      <c r="E319">
        <v>4357490000</v>
      </c>
      <c r="F319">
        <v>47480000</v>
      </c>
      <c r="G319">
        <v>4001</v>
      </c>
      <c r="H319">
        <v>3.0300000000000001E-2</v>
      </c>
      <c r="I319" t="b">
        <v>0</v>
      </c>
      <c r="J319">
        <v>2022</v>
      </c>
      <c r="K319" t="s">
        <v>38</v>
      </c>
      <c r="L319" t="s">
        <v>12</v>
      </c>
      <c r="M319">
        <v>14.86</v>
      </c>
      <c r="N319">
        <v>11867</v>
      </c>
      <c r="O319">
        <v>3</v>
      </c>
    </row>
    <row r="320" spans="1:15" x14ac:dyDescent="0.25">
      <c r="A320" t="s">
        <v>410</v>
      </c>
      <c r="B320" t="s">
        <v>14</v>
      </c>
      <c r="C320">
        <v>4</v>
      </c>
      <c r="D320">
        <v>60660000</v>
      </c>
      <c r="E320">
        <v>504650000</v>
      </c>
      <c r="F320">
        <v>59130000</v>
      </c>
      <c r="G320">
        <v>493</v>
      </c>
      <c r="H320">
        <v>4.65E-2</v>
      </c>
      <c r="I320" t="b">
        <v>1</v>
      </c>
      <c r="J320">
        <v>1992</v>
      </c>
      <c r="K320" t="s">
        <v>11</v>
      </c>
      <c r="L320" t="s">
        <v>12</v>
      </c>
      <c r="M320">
        <v>8.32</v>
      </c>
      <c r="N320">
        <v>119939</v>
      </c>
      <c r="O320">
        <v>33</v>
      </c>
    </row>
    <row r="321" spans="1:15" x14ac:dyDescent="0.25">
      <c r="A321" t="s">
        <v>411</v>
      </c>
      <c r="B321" t="s">
        <v>22</v>
      </c>
      <c r="C321">
        <v>1</v>
      </c>
      <c r="D321">
        <v>208110000</v>
      </c>
      <c r="E321">
        <v>743780000</v>
      </c>
      <c r="F321">
        <v>53750000</v>
      </c>
      <c r="G321">
        <v>2209</v>
      </c>
      <c r="H321">
        <v>4.1700000000000001E-2</v>
      </c>
      <c r="I321" t="b">
        <v>0</v>
      </c>
      <c r="J321">
        <v>1994</v>
      </c>
      <c r="K321" t="s">
        <v>15</v>
      </c>
      <c r="L321" t="s">
        <v>12</v>
      </c>
      <c r="M321">
        <v>3.57</v>
      </c>
      <c r="N321">
        <v>24332</v>
      </c>
      <c r="O321">
        <v>31</v>
      </c>
    </row>
    <row r="322" spans="1:15" x14ac:dyDescent="0.25">
      <c r="A322" t="s">
        <v>412</v>
      </c>
      <c r="B322" t="s">
        <v>36</v>
      </c>
      <c r="C322">
        <v>1</v>
      </c>
      <c r="D322">
        <v>246520000</v>
      </c>
      <c r="E322">
        <v>852040000</v>
      </c>
      <c r="F322">
        <v>85430000</v>
      </c>
      <c r="G322">
        <v>2662</v>
      </c>
      <c r="H322">
        <v>7.2499999999999995E-2</v>
      </c>
      <c r="I322" t="b">
        <v>0</v>
      </c>
      <c r="J322">
        <v>2016</v>
      </c>
      <c r="K322" t="s">
        <v>15</v>
      </c>
      <c r="L322" t="s">
        <v>12</v>
      </c>
      <c r="M322">
        <v>3.46</v>
      </c>
      <c r="N322">
        <v>32092</v>
      </c>
      <c r="O322">
        <v>9</v>
      </c>
    </row>
    <row r="323" spans="1:15" x14ac:dyDescent="0.25">
      <c r="A323" t="s">
        <v>413</v>
      </c>
      <c r="B323" t="s">
        <v>72</v>
      </c>
      <c r="C323">
        <v>3</v>
      </c>
      <c r="D323">
        <v>12830000</v>
      </c>
      <c r="E323">
        <v>153380000</v>
      </c>
      <c r="F323">
        <v>5040000</v>
      </c>
      <c r="G323">
        <v>3281</v>
      </c>
      <c r="H323">
        <v>3.9100000000000003E-2</v>
      </c>
      <c r="I323" t="b">
        <v>0</v>
      </c>
      <c r="J323">
        <v>2001</v>
      </c>
      <c r="K323" t="s">
        <v>38</v>
      </c>
      <c r="L323" t="s">
        <v>20</v>
      </c>
      <c r="M323">
        <v>11.95</v>
      </c>
      <c r="N323">
        <v>1536</v>
      </c>
      <c r="O323">
        <v>24</v>
      </c>
    </row>
    <row r="324" spans="1:15" x14ac:dyDescent="0.25">
      <c r="A324" t="s">
        <v>62</v>
      </c>
      <c r="B324" t="s">
        <v>14</v>
      </c>
      <c r="C324">
        <v>5</v>
      </c>
      <c r="D324">
        <v>42440000</v>
      </c>
      <c r="E324">
        <v>257340000</v>
      </c>
      <c r="F324">
        <v>52080000</v>
      </c>
      <c r="G324">
        <v>1937</v>
      </c>
      <c r="H324">
        <v>7.22E-2</v>
      </c>
      <c r="I324" t="b">
        <v>1</v>
      </c>
      <c r="J324">
        <v>2002</v>
      </c>
      <c r="K324" t="s">
        <v>38</v>
      </c>
      <c r="L324" t="s">
        <v>12</v>
      </c>
      <c r="M324">
        <v>6.06</v>
      </c>
      <c r="N324">
        <v>26887</v>
      </c>
      <c r="O324">
        <v>23</v>
      </c>
    </row>
    <row r="325" spans="1:15" x14ac:dyDescent="0.25">
      <c r="A325" t="s">
        <v>414</v>
      </c>
      <c r="B325" t="s">
        <v>22</v>
      </c>
      <c r="C325">
        <v>5</v>
      </c>
      <c r="D325">
        <v>201280000</v>
      </c>
      <c r="E325">
        <v>2195650000</v>
      </c>
      <c r="F325">
        <v>83350000</v>
      </c>
      <c r="G325">
        <v>1107</v>
      </c>
      <c r="H325">
        <v>4.9399999999999999E-2</v>
      </c>
      <c r="I325" t="b">
        <v>1</v>
      </c>
      <c r="J325">
        <v>2009</v>
      </c>
      <c r="K325" t="s">
        <v>11</v>
      </c>
      <c r="L325" t="s">
        <v>12</v>
      </c>
      <c r="M325">
        <v>10.91</v>
      </c>
      <c r="N325">
        <v>75294</v>
      </c>
      <c r="O325">
        <v>16</v>
      </c>
    </row>
    <row r="326" spans="1:15" x14ac:dyDescent="0.25">
      <c r="A326" t="s">
        <v>415</v>
      </c>
      <c r="B326" t="s">
        <v>10</v>
      </c>
      <c r="C326">
        <v>1</v>
      </c>
      <c r="D326">
        <v>285490000</v>
      </c>
      <c r="E326">
        <v>3604470000</v>
      </c>
      <c r="F326">
        <v>84410000</v>
      </c>
      <c r="G326">
        <v>1246</v>
      </c>
      <c r="H326">
        <v>4.3499999999999997E-2</v>
      </c>
      <c r="I326" t="b">
        <v>0</v>
      </c>
      <c r="J326">
        <v>2009</v>
      </c>
      <c r="K326" t="s">
        <v>29</v>
      </c>
      <c r="L326" t="s">
        <v>20</v>
      </c>
      <c r="M326">
        <v>12.63</v>
      </c>
      <c r="N326">
        <v>67745</v>
      </c>
      <c r="O326">
        <v>16</v>
      </c>
    </row>
    <row r="327" spans="1:15" x14ac:dyDescent="0.25">
      <c r="A327" t="s">
        <v>416</v>
      </c>
      <c r="B327" t="s">
        <v>10</v>
      </c>
      <c r="C327">
        <v>5</v>
      </c>
      <c r="D327">
        <v>37700000</v>
      </c>
      <c r="E327">
        <v>160770000</v>
      </c>
      <c r="F327">
        <v>28560000</v>
      </c>
      <c r="G327">
        <v>520</v>
      </c>
      <c r="H327">
        <v>7.4300000000000005E-2</v>
      </c>
      <c r="I327" t="b">
        <v>0</v>
      </c>
      <c r="J327">
        <v>1998</v>
      </c>
      <c r="K327" t="s">
        <v>25</v>
      </c>
      <c r="L327" t="s">
        <v>12</v>
      </c>
      <c r="M327">
        <v>4.26</v>
      </c>
      <c r="N327">
        <v>54923</v>
      </c>
      <c r="O327">
        <v>27</v>
      </c>
    </row>
    <row r="328" spans="1:15" x14ac:dyDescent="0.25">
      <c r="A328" t="s">
        <v>417</v>
      </c>
      <c r="B328" t="s">
        <v>22</v>
      </c>
      <c r="C328">
        <v>1</v>
      </c>
      <c r="D328">
        <v>268920000</v>
      </c>
      <c r="E328">
        <v>921550000</v>
      </c>
      <c r="F328">
        <v>46340000</v>
      </c>
      <c r="G328">
        <v>397</v>
      </c>
      <c r="H328">
        <v>8.6400000000000005E-2</v>
      </c>
      <c r="I328" t="b">
        <v>0</v>
      </c>
      <c r="J328">
        <v>1993</v>
      </c>
      <c r="K328" t="s">
        <v>25</v>
      </c>
      <c r="L328" t="s">
        <v>12</v>
      </c>
      <c r="M328">
        <v>3.43</v>
      </c>
      <c r="N328">
        <v>116725</v>
      </c>
      <c r="O328">
        <v>32</v>
      </c>
    </row>
    <row r="329" spans="1:15" x14ac:dyDescent="0.25">
      <c r="A329" t="s">
        <v>418</v>
      </c>
      <c r="B329" t="s">
        <v>14</v>
      </c>
      <c r="C329">
        <v>2</v>
      </c>
      <c r="D329">
        <v>178640000</v>
      </c>
      <c r="E329">
        <v>1626150000</v>
      </c>
      <c r="F329">
        <v>43910000</v>
      </c>
      <c r="G329">
        <v>635</v>
      </c>
      <c r="H329">
        <v>5.3699999999999998E-2</v>
      </c>
      <c r="I329" t="b">
        <v>1</v>
      </c>
      <c r="J329">
        <v>2008</v>
      </c>
      <c r="K329" t="s">
        <v>38</v>
      </c>
      <c r="L329" t="s">
        <v>12</v>
      </c>
      <c r="M329">
        <v>9.1</v>
      </c>
      <c r="N329">
        <v>69150</v>
      </c>
      <c r="O329">
        <v>17</v>
      </c>
    </row>
    <row r="330" spans="1:15" x14ac:dyDescent="0.25">
      <c r="A330" t="s">
        <v>419</v>
      </c>
      <c r="B330" t="s">
        <v>72</v>
      </c>
      <c r="C330">
        <v>4</v>
      </c>
      <c r="D330">
        <v>185170000</v>
      </c>
      <c r="E330">
        <v>1416760000</v>
      </c>
      <c r="F330">
        <v>21930000</v>
      </c>
      <c r="G330">
        <v>3721</v>
      </c>
      <c r="H330">
        <v>7.9200000000000007E-2</v>
      </c>
      <c r="I330" t="b">
        <v>0</v>
      </c>
      <c r="J330">
        <v>2016</v>
      </c>
      <c r="K330" t="s">
        <v>11</v>
      </c>
      <c r="L330" t="s">
        <v>12</v>
      </c>
      <c r="M330">
        <v>7.65</v>
      </c>
      <c r="N330">
        <v>5894</v>
      </c>
      <c r="O330">
        <v>9</v>
      </c>
    </row>
    <row r="331" spans="1:15" x14ac:dyDescent="0.25">
      <c r="A331" t="s">
        <v>420</v>
      </c>
      <c r="B331" t="s">
        <v>72</v>
      </c>
      <c r="C331">
        <v>1</v>
      </c>
      <c r="D331">
        <v>184080000</v>
      </c>
      <c r="E331">
        <v>1572660000</v>
      </c>
      <c r="F331">
        <v>39740000</v>
      </c>
      <c r="G331">
        <v>1852</v>
      </c>
      <c r="H331">
        <v>3.04E-2</v>
      </c>
      <c r="I331" t="b">
        <v>1</v>
      </c>
      <c r="J331">
        <v>2002</v>
      </c>
      <c r="K331" t="s">
        <v>11</v>
      </c>
      <c r="L331" t="s">
        <v>12</v>
      </c>
      <c r="M331">
        <v>8.5399999999999991</v>
      </c>
      <c r="N331">
        <v>21458</v>
      </c>
      <c r="O331">
        <v>23</v>
      </c>
    </row>
    <row r="332" spans="1:15" x14ac:dyDescent="0.25">
      <c r="A332" t="s">
        <v>421</v>
      </c>
      <c r="B332" t="s">
        <v>36</v>
      </c>
      <c r="C332">
        <v>5</v>
      </c>
      <c r="D332">
        <v>90000000</v>
      </c>
      <c r="E332">
        <v>1340920000</v>
      </c>
      <c r="F332">
        <v>4530000</v>
      </c>
      <c r="G332">
        <v>2660</v>
      </c>
      <c r="H332">
        <v>5.4600000000000003E-2</v>
      </c>
      <c r="I332" t="b">
        <v>0</v>
      </c>
      <c r="J332">
        <v>2002</v>
      </c>
      <c r="K332" t="s">
        <v>15</v>
      </c>
      <c r="L332" t="s">
        <v>12</v>
      </c>
      <c r="M332">
        <v>14.9</v>
      </c>
      <c r="N332">
        <v>1703</v>
      </c>
      <c r="O332">
        <v>23</v>
      </c>
    </row>
    <row r="333" spans="1:15" x14ac:dyDescent="0.25">
      <c r="A333" t="s">
        <v>422</v>
      </c>
      <c r="B333" t="s">
        <v>72</v>
      </c>
      <c r="C333">
        <v>2</v>
      </c>
      <c r="D333">
        <v>280590000</v>
      </c>
      <c r="E333">
        <v>4110360000</v>
      </c>
      <c r="F333">
        <v>27850000</v>
      </c>
      <c r="G333">
        <v>984</v>
      </c>
      <c r="H333">
        <v>3.5200000000000002E-2</v>
      </c>
      <c r="I333" t="b">
        <v>1</v>
      </c>
      <c r="J333">
        <v>2011</v>
      </c>
      <c r="K333" t="s">
        <v>29</v>
      </c>
      <c r="L333" t="s">
        <v>23</v>
      </c>
      <c r="M333">
        <v>14.65</v>
      </c>
      <c r="N333">
        <v>28303</v>
      </c>
      <c r="O333">
        <v>14</v>
      </c>
    </row>
    <row r="334" spans="1:15" x14ac:dyDescent="0.25">
      <c r="A334" t="s">
        <v>423</v>
      </c>
      <c r="B334" t="s">
        <v>10</v>
      </c>
      <c r="C334">
        <v>1</v>
      </c>
      <c r="D334">
        <v>284230000</v>
      </c>
      <c r="E334">
        <v>4066700000</v>
      </c>
      <c r="F334">
        <v>81690000</v>
      </c>
      <c r="G334">
        <v>4534</v>
      </c>
      <c r="H334">
        <v>4.2000000000000003E-2</v>
      </c>
      <c r="I334" t="b">
        <v>1</v>
      </c>
      <c r="J334">
        <v>2017</v>
      </c>
      <c r="K334" t="s">
        <v>11</v>
      </c>
      <c r="L334" t="s">
        <v>12</v>
      </c>
      <c r="M334">
        <v>14.31</v>
      </c>
      <c r="N334">
        <v>18017</v>
      </c>
      <c r="O334">
        <v>8</v>
      </c>
    </row>
    <row r="335" spans="1:15" x14ac:dyDescent="0.25">
      <c r="A335" t="s">
        <v>17</v>
      </c>
      <c r="B335" t="s">
        <v>18</v>
      </c>
      <c r="C335">
        <v>5</v>
      </c>
      <c r="D335">
        <v>10750000</v>
      </c>
      <c r="E335">
        <v>101900000</v>
      </c>
      <c r="F335">
        <v>47080000</v>
      </c>
      <c r="G335">
        <v>1059</v>
      </c>
      <c r="H335">
        <v>2.53E-2</v>
      </c>
      <c r="I335" t="b">
        <v>0</v>
      </c>
      <c r="J335">
        <v>2003</v>
      </c>
      <c r="K335" t="s">
        <v>15</v>
      </c>
      <c r="L335" t="s">
        <v>12</v>
      </c>
      <c r="M335">
        <v>9.48</v>
      </c>
      <c r="N335">
        <v>44457</v>
      </c>
      <c r="O335">
        <v>22</v>
      </c>
    </row>
    <row r="336" spans="1:15" x14ac:dyDescent="0.25">
      <c r="A336" t="s">
        <v>63</v>
      </c>
      <c r="B336" t="s">
        <v>31</v>
      </c>
      <c r="C336">
        <v>4</v>
      </c>
      <c r="D336">
        <v>79470000</v>
      </c>
      <c r="E336">
        <v>869370000</v>
      </c>
      <c r="F336">
        <v>37410000</v>
      </c>
      <c r="G336">
        <v>2726</v>
      </c>
      <c r="H336">
        <v>5.6800000000000003E-2</v>
      </c>
      <c r="I336" t="b">
        <v>1</v>
      </c>
      <c r="J336">
        <v>1995</v>
      </c>
      <c r="K336" t="s">
        <v>11</v>
      </c>
      <c r="L336" t="s">
        <v>20</v>
      </c>
      <c r="M336">
        <v>10.94</v>
      </c>
      <c r="N336">
        <v>13723</v>
      </c>
      <c r="O336">
        <v>30</v>
      </c>
    </row>
    <row r="337" spans="1:15" x14ac:dyDescent="0.25">
      <c r="A337" t="s">
        <v>424</v>
      </c>
      <c r="B337" t="s">
        <v>27</v>
      </c>
      <c r="C337">
        <v>3</v>
      </c>
      <c r="D337">
        <v>187780000</v>
      </c>
      <c r="E337">
        <v>2329620000</v>
      </c>
      <c r="F337">
        <v>28530000</v>
      </c>
      <c r="G337">
        <v>3407</v>
      </c>
      <c r="H337">
        <v>7.3499999999999996E-2</v>
      </c>
      <c r="I337" t="b">
        <v>0</v>
      </c>
      <c r="J337">
        <v>2011</v>
      </c>
      <c r="K337" t="s">
        <v>25</v>
      </c>
      <c r="L337" t="s">
        <v>12</v>
      </c>
      <c r="M337">
        <v>12.41</v>
      </c>
      <c r="N337">
        <v>8374</v>
      </c>
      <c r="O337">
        <v>14</v>
      </c>
    </row>
    <row r="338" spans="1:15" x14ac:dyDescent="0.25">
      <c r="A338" t="s">
        <v>425</v>
      </c>
      <c r="B338" t="s">
        <v>14</v>
      </c>
      <c r="C338">
        <v>4</v>
      </c>
      <c r="D338">
        <v>235140000</v>
      </c>
      <c r="E338">
        <v>1706670000</v>
      </c>
      <c r="F338">
        <v>81840000</v>
      </c>
      <c r="G338">
        <v>3876</v>
      </c>
      <c r="H338">
        <v>8.8300000000000003E-2</v>
      </c>
      <c r="I338" t="b">
        <v>0</v>
      </c>
      <c r="J338">
        <v>2008</v>
      </c>
      <c r="K338" t="s">
        <v>29</v>
      </c>
      <c r="L338" t="s">
        <v>12</v>
      </c>
      <c r="M338">
        <v>7.26</v>
      </c>
      <c r="N338">
        <v>21115</v>
      </c>
      <c r="O338">
        <v>17</v>
      </c>
    </row>
    <row r="339" spans="1:15" x14ac:dyDescent="0.25">
      <c r="A339" t="s">
        <v>426</v>
      </c>
      <c r="B339" t="s">
        <v>72</v>
      </c>
      <c r="C339">
        <v>1</v>
      </c>
      <c r="D339">
        <v>183870000</v>
      </c>
      <c r="E339">
        <v>1460950000</v>
      </c>
      <c r="F339">
        <v>53210000</v>
      </c>
      <c r="G339">
        <v>282</v>
      </c>
      <c r="H339">
        <v>1.2999999999999999E-2</v>
      </c>
      <c r="I339" t="b">
        <v>0</v>
      </c>
      <c r="J339">
        <v>1997</v>
      </c>
      <c r="K339" t="s">
        <v>29</v>
      </c>
      <c r="L339" t="s">
        <v>12</v>
      </c>
      <c r="M339">
        <v>7.95</v>
      </c>
      <c r="N339">
        <v>188688</v>
      </c>
      <c r="O339">
        <v>28</v>
      </c>
    </row>
    <row r="340" spans="1:15" x14ac:dyDescent="0.25">
      <c r="A340" t="s">
        <v>427</v>
      </c>
      <c r="B340" t="s">
        <v>36</v>
      </c>
      <c r="C340">
        <v>2</v>
      </c>
      <c r="D340">
        <v>145580000</v>
      </c>
      <c r="E340">
        <v>1396900000</v>
      </c>
      <c r="F340">
        <v>88000000</v>
      </c>
      <c r="G340">
        <v>237</v>
      </c>
      <c r="H340">
        <v>6.3799999999999996E-2</v>
      </c>
      <c r="I340" t="b">
        <v>0</v>
      </c>
      <c r="J340">
        <v>1997</v>
      </c>
      <c r="K340" t="s">
        <v>38</v>
      </c>
      <c r="L340" t="s">
        <v>23</v>
      </c>
      <c r="M340">
        <v>9.6</v>
      </c>
      <c r="N340">
        <v>371308</v>
      </c>
      <c r="O340">
        <v>28</v>
      </c>
    </row>
    <row r="341" spans="1:15" x14ac:dyDescent="0.25">
      <c r="A341" t="s">
        <v>428</v>
      </c>
      <c r="B341" t="s">
        <v>10</v>
      </c>
      <c r="C341">
        <v>3</v>
      </c>
      <c r="D341">
        <v>198420000</v>
      </c>
      <c r="E341">
        <v>2572800000</v>
      </c>
      <c r="F341">
        <v>57520000</v>
      </c>
      <c r="G341">
        <v>1557</v>
      </c>
      <c r="H341">
        <v>5.8599999999999999E-2</v>
      </c>
      <c r="I341" t="b">
        <v>1</v>
      </c>
      <c r="J341">
        <v>2015</v>
      </c>
      <c r="K341" t="s">
        <v>11</v>
      </c>
      <c r="L341" t="s">
        <v>12</v>
      </c>
      <c r="M341">
        <v>12.97</v>
      </c>
      <c r="N341">
        <v>36943</v>
      </c>
      <c r="O341">
        <v>10</v>
      </c>
    </row>
    <row r="342" spans="1:15" x14ac:dyDescent="0.25">
      <c r="A342" t="s">
        <v>429</v>
      </c>
      <c r="B342" t="s">
        <v>27</v>
      </c>
      <c r="C342">
        <v>2</v>
      </c>
      <c r="D342">
        <v>166120000</v>
      </c>
      <c r="E342">
        <v>635330000</v>
      </c>
      <c r="F342">
        <v>3060000</v>
      </c>
      <c r="G342">
        <v>3275</v>
      </c>
      <c r="H342">
        <v>1.2699999999999999E-2</v>
      </c>
      <c r="I342" t="b">
        <v>0</v>
      </c>
      <c r="J342">
        <v>2015</v>
      </c>
      <c r="K342" t="s">
        <v>38</v>
      </c>
      <c r="L342" t="s">
        <v>12</v>
      </c>
      <c r="M342">
        <v>3.82</v>
      </c>
      <c r="N342">
        <v>934</v>
      </c>
      <c r="O342">
        <v>10</v>
      </c>
    </row>
    <row r="343" spans="1:15" x14ac:dyDescent="0.25">
      <c r="A343" t="s">
        <v>430</v>
      </c>
      <c r="B343" t="s">
        <v>31</v>
      </c>
      <c r="C343">
        <v>2</v>
      </c>
      <c r="D343">
        <v>179440000</v>
      </c>
      <c r="E343">
        <v>1451950000</v>
      </c>
      <c r="F343">
        <v>67570000</v>
      </c>
      <c r="G343">
        <v>2414</v>
      </c>
      <c r="H343">
        <v>2.1999999999999999E-2</v>
      </c>
      <c r="I343" t="b">
        <v>0</v>
      </c>
      <c r="J343">
        <v>2012</v>
      </c>
      <c r="K343" t="s">
        <v>11</v>
      </c>
      <c r="L343" t="s">
        <v>20</v>
      </c>
      <c r="M343">
        <v>8.09</v>
      </c>
      <c r="N343">
        <v>27991</v>
      </c>
      <c r="O343">
        <v>13</v>
      </c>
    </row>
    <row r="344" spans="1:15" x14ac:dyDescent="0.25">
      <c r="A344" t="s">
        <v>431</v>
      </c>
      <c r="B344" t="s">
        <v>31</v>
      </c>
      <c r="C344">
        <v>3</v>
      </c>
      <c r="D344">
        <v>235260000</v>
      </c>
      <c r="E344">
        <v>939020000</v>
      </c>
      <c r="F344">
        <v>4580000</v>
      </c>
      <c r="G344">
        <v>3517</v>
      </c>
      <c r="H344">
        <v>3.1800000000000002E-2</v>
      </c>
      <c r="I344" t="b">
        <v>0</v>
      </c>
      <c r="J344">
        <v>2002</v>
      </c>
      <c r="K344" t="s">
        <v>15</v>
      </c>
      <c r="L344" t="s">
        <v>12</v>
      </c>
      <c r="M344">
        <v>3.99</v>
      </c>
      <c r="N344">
        <v>1302</v>
      </c>
      <c r="O344">
        <v>23</v>
      </c>
    </row>
    <row r="345" spans="1:15" x14ac:dyDescent="0.25">
      <c r="A345" t="s">
        <v>432</v>
      </c>
      <c r="B345" t="s">
        <v>27</v>
      </c>
      <c r="C345">
        <v>2</v>
      </c>
      <c r="D345">
        <v>144530000</v>
      </c>
      <c r="E345">
        <v>1326190000</v>
      </c>
      <c r="F345">
        <v>45110000</v>
      </c>
      <c r="G345">
        <v>30</v>
      </c>
      <c r="H345">
        <v>1.7500000000000002E-2</v>
      </c>
      <c r="I345" t="b">
        <v>1</v>
      </c>
      <c r="J345">
        <v>2017</v>
      </c>
      <c r="K345" t="s">
        <v>38</v>
      </c>
      <c r="L345" t="s">
        <v>12</v>
      </c>
      <c r="M345">
        <v>9.18</v>
      </c>
      <c r="N345">
        <v>1503667</v>
      </c>
      <c r="O345">
        <v>8</v>
      </c>
    </row>
    <row r="346" spans="1:15" x14ac:dyDescent="0.25">
      <c r="A346" t="s">
        <v>433</v>
      </c>
      <c r="B346" t="s">
        <v>10</v>
      </c>
      <c r="C346">
        <v>3</v>
      </c>
      <c r="D346">
        <v>12710000</v>
      </c>
      <c r="E346">
        <v>175230000</v>
      </c>
      <c r="F346">
        <v>92950000</v>
      </c>
      <c r="G346">
        <v>465</v>
      </c>
      <c r="H346">
        <v>2.5100000000000001E-2</v>
      </c>
      <c r="I346" t="b">
        <v>0</v>
      </c>
      <c r="J346">
        <v>1998</v>
      </c>
      <c r="K346" t="s">
        <v>38</v>
      </c>
      <c r="L346" t="s">
        <v>12</v>
      </c>
      <c r="M346">
        <v>13.79</v>
      </c>
      <c r="N346">
        <v>199892</v>
      </c>
      <c r="O346">
        <v>27</v>
      </c>
    </row>
    <row r="347" spans="1:15" x14ac:dyDescent="0.25">
      <c r="A347" t="s">
        <v>64</v>
      </c>
      <c r="B347" t="s">
        <v>10</v>
      </c>
      <c r="C347">
        <v>1</v>
      </c>
      <c r="D347">
        <v>80320000</v>
      </c>
      <c r="E347">
        <v>1184200000</v>
      </c>
      <c r="F347">
        <v>12330000</v>
      </c>
      <c r="G347">
        <v>369</v>
      </c>
      <c r="H347">
        <v>4.3299999999999998E-2</v>
      </c>
      <c r="I347" t="b">
        <v>0</v>
      </c>
      <c r="J347">
        <v>2003</v>
      </c>
      <c r="K347" t="s">
        <v>15</v>
      </c>
      <c r="L347" t="s">
        <v>12</v>
      </c>
      <c r="M347">
        <v>14.74</v>
      </c>
      <c r="N347">
        <v>33415</v>
      </c>
      <c r="O347">
        <v>22</v>
      </c>
    </row>
    <row r="348" spans="1:15" x14ac:dyDescent="0.25">
      <c r="A348" t="s">
        <v>434</v>
      </c>
      <c r="B348" t="s">
        <v>36</v>
      </c>
      <c r="C348">
        <v>1</v>
      </c>
      <c r="D348">
        <v>49620000</v>
      </c>
      <c r="E348">
        <v>614780000</v>
      </c>
      <c r="F348">
        <v>16600000</v>
      </c>
      <c r="G348">
        <v>3769</v>
      </c>
      <c r="H348">
        <v>2.75E-2</v>
      </c>
      <c r="I348" t="b">
        <v>0</v>
      </c>
      <c r="J348">
        <v>2009</v>
      </c>
      <c r="K348" t="s">
        <v>25</v>
      </c>
      <c r="L348" t="s">
        <v>12</v>
      </c>
      <c r="M348">
        <v>12.39</v>
      </c>
      <c r="N348">
        <v>4404</v>
      </c>
      <c r="O348">
        <v>16</v>
      </c>
    </row>
    <row r="349" spans="1:15" x14ac:dyDescent="0.25">
      <c r="A349" t="s">
        <v>435</v>
      </c>
      <c r="B349" t="s">
        <v>27</v>
      </c>
      <c r="C349">
        <v>3</v>
      </c>
      <c r="D349">
        <v>131860000</v>
      </c>
      <c r="E349">
        <v>756100000</v>
      </c>
      <c r="F349">
        <v>39050000</v>
      </c>
      <c r="G349">
        <v>3436</v>
      </c>
      <c r="H349">
        <v>3.4200000000000001E-2</v>
      </c>
      <c r="I349" t="b">
        <v>0</v>
      </c>
      <c r="J349">
        <v>2008</v>
      </c>
      <c r="K349" t="s">
        <v>38</v>
      </c>
      <c r="L349" t="s">
        <v>23</v>
      </c>
      <c r="M349">
        <v>5.73</v>
      </c>
      <c r="N349">
        <v>11365</v>
      </c>
      <c r="O349">
        <v>17</v>
      </c>
    </row>
    <row r="350" spans="1:15" x14ac:dyDescent="0.25">
      <c r="A350" t="s">
        <v>436</v>
      </c>
      <c r="B350" t="s">
        <v>14</v>
      </c>
      <c r="C350">
        <v>3</v>
      </c>
      <c r="D350">
        <v>217590000</v>
      </c>
      <c r="E350">
        <v>3201160000</v>
      </c>
      <c r="F350">
        <v>73010000</v>
      </c>
      <c r="G350">
        <v>3488</v>
      </c>
      <c r="H350">
        <v>7.5200000000000003E-2</v>
      </c>
      <c r="I350" t="b">
        <v>1</v>
      </c>
      <c r="J350">
        <v>2001</v>
      </c>
      <c r="K350" t="s">
        <v>11</v>
      </c>
      <c r="L350" t="s">
        <v>12</v>
      </c>
      <c r="M350">
        <v>14.71</v>
      </c>
      <c r="N350">
        <v>20932</v>
      </c>
      <c r="O350">
        <v>24</v>
      </c>
    </row>
    <row r="351" spans="1:15" x14ac:dyDescent="0.25">
      <c r="A351" t="s">
        <v>437</v>
      </c>
      <c r="B351" t="s">
        <v>14</v>
      </c>
      <c r="C351">
        <v>4</v>
      </c>
      <c r="D351">
        <v>178190000</v>
      </c>
      <c r="E351">
        <v>1961550000</v>
      </c>
      <c r="F351">
        <v>88240000</v>
      </c>
      <c r="G351">
        <v>1999</v>
      </c>
      <c r="H351">
        <v>5.7599999999999998E-2</v>
      </c>
      <c r="I351" t="b">
        <v>1</v>
      </c>
      <c r="J351">
        <v>2004</v>
      </c>
      <c r="K351" t="s">
        <v>25</v>
      </c>
      <c r="L351" t="s">
        <v>12</v>
      </c>
      <c r="M351">
        <v>11.01</v>
      </c>
      <c r="N351">
        <v>44142</v>
      </c>
      <c r="O351">
        <v>21</v>
      </c>
    </row>
    <row r="352" spans="1:15" x14ac:dyDescent="0.25">
      <c r="A352" t="s">
        <v>438</v>
      </c>
      <c r="B352" t="s">
        <v>31</v>
      </c>
      <c r="C352">
        <v>3</v>
      </c>
      <c r="D352">
        <v>195260000</v>
      </c>
      <c r="E352">
        <v>610210000</v>
      </c>
      <c r="F352">
        <v>67130000</v>
      </c>
      <c r="G352">
        <v>495</v>
      </c>
      <c r="H352">
        <v>9.8599999999999993E-2</v>
      </c>
      <c r="I352" t="b">
        <v>0</v>
      </c>
      <c r="J352">
        <v>2020</v>
      </c>
      <c r="K352" t="s">
        <v>38</v>
      </c>
      <c r="L352" t="s">
        <v>12</v>
      </c>
      <c r="M352">
        <v>3.13</v>
      </c>
      <c r="N352">
        <v>135616</v>
      </c>
      <c r="O352">
        <v>5</v>
      </c>
    </row>
    <row r="353" spans="1:15" x14ac:dyDescent="0.25">
      <c r="A353" t="s">
        <v>439</v>
      </c>
      <c r="B353" t="s">
        <v>72</v>
      </c>
      <c r="C353">
        <v>3</v>
      </c>
      <c r="D353">
        <v>144040000</v>
      </c>
      <c r="E353">
        <v>873600000</v>
      </c>
      <c r="F353">
        <v>25890000</v>
      </c>
      <c r="G353">
        <v>1077</v>
      </c>
      <c r="H353">
        <v>4.2099999999999999E-2</v>
      </c>
      <c r="I353" t="b">
        <v>0</v>
      </c>
      <c r="J353">
        <v>2003</v>
      </c>
      <c r="K353" t="s">
        <v>38</v>
      </c>
      <c r="L353" t="s">
        <v>12</v>
      </c>
      <c r="M353">
        <v>6.06</v>
      </c>
      <c r="N353">
        <v>24039</v>
      </c>
      <c r="O353">
        <v>22</v>
      </c>
    </row>
    <row r="354" spans="1:15" x14ac:dyDescent="0.25">
      <c r="A354" t="s">
        <v>440</v>
      </c>
      <c r="B354" t="s">
        <v>36</v>
      </c>
      <c r="C354">
        <v>1</v>
      </c>
      <c r="D354">
        <v>184910000</v>
      </c>
      <c r="E354">
        <v>1133230000</v>
      </c>
      <c r="F354">
        <v>67490000</v>
      </c>
      <c r="G354">
        <v>3178</v>
      </c>
      <c r="H354">
        <v>7.5600000000000001E-2</v>
      </c>
      <c r="I354" t="b">
        <v>0</v>
      </c>
      <c r="J354">
        <v>2000</v>
      </c>
      <c r="K354" t="s">
        <v>15</v>
      </c>
      <c r="L354" t="s">
        <v>20</v>
      </c>
      <c r="M354">
        <v>6.13</v>
      </c>
      <c r="N354">
        <v>21237</v>
      </c>
      <c r="O354">
        <v>25</v>
      </c>
    </row>
    <row r="355" spans="1:15" x14ac:dyDescent="0.25">
      <c r="A355" t="s">
        <v>441</v>
      </c>
      <c r="B355" t="s">
        <v>31</v>
      </c>
      <c r="C355">
        <v>4</v>
      </c>
      <c r="D355">
        <v>99040000</v>
      </c>
      <c r="E355">
        <v>379430000</v>
      </c>
      <c r="F355">
        <v>29740000</v>
      </c>
      <c r="G355">
        <v>220</v>
      </c>
      <c r="H355">
        <v>8.7300000000000003E-2</v>
      </c>
      <c r="I355" t="b">
        <v>0</v>
      </c>
      <c r="J355">
        <v>2015</v>
      </c>
      <c r="K355" t="s">
        <v>38</v>
      </c>
      <c r="L355" t="s">
        <v>20</v>
      </c>
      <c r="M355">
        <v>3.83</v>
      </c>
      <c r="N355">
        <v>135182</v>
      </c>
      <c r="O355">
        <v>10</v>
      </c>
    </row>
    <row r="356" spans="1:15" x14ac:dyDescent="0.25">
      <c r="A356" t="s">
        <v>442</v>
      </c>
      <c r="B356" t="s">
        <v>72</v>
      </c>
      <c r="C356">
        <v>5</v>
      </c>
      <c r="D356">
        <v>141320000</v>
      </c>
      <c r="E356">
        <v>2051670000</v>
      </c>
      <c r="F356">
        <v>71870000</v>
      </c>
      <c r="G356">
        <v>1728</v>
      </c>
      <c r="H356">
        <v>6.8199999999999997E-2</v>
      </c>
      <c r="I356" t="b">
        <v>1</v>
      </c>
      <c r="J356">
        <v>2016</v>
      </c>
      <c r="K356" t="s">
        <v>29</v>
      </c>
      <c r="L356" t="s">
        <v>12</v>
      </c>
      <c r="M356">
        <v>14.52</v>
      </c>
      <c r="N356">
        <v>41591</v>
      </c>
      <c r="O356">
        <v>9</v>
      </c>
    </row>
    <row r="357" spans="1:15" x14ac:dyDescent="0.25">
      <c r="A357" t="s">
        <v>443</v>
      </c>
      <c r="B357" t="s">
        <v>72</v>
      </c>
      <c r="C357">
        <v>1</v>
      </c>
      <c r="D357">
        <v>223410000</v>
      </c>
      <c r="E357">
        <v>1952390000</v>
      </c>
      <c r="F357">
        <v>95410000</v>
      </c>
      <c r="G357">
        <v>1597</v>
      </c>
      <c r="H357">
        <v>4.1799999999999997E-2</v>
      </c>
      <c r="I357" t="b">
        <v>1</v>
      </c>
      <c r="J357">
        <v>2000</v>
      </c>
      <c r="K357" t="s">
        <v>25</v>
      </c>
      <c r="L357" t="s">
        <v>12</v>
      </c>
      <c r="M357">
        <v>8.74</v>
      </c>
      <c r="N357">
        <v>59743</v>
      </c>
      <c r="O357">
        <v>25</v>
      </c>
    </row>
    <row r="358" spans="1:15" x14ac:dyDescent="0.25">
      <c r="A358" t="s">
        <v>65</v>
      </c>
      <c r="B358" t="s">
        <v>31</v>
      </c>
      <c r="C358">
        <v>5</v>
      </c>
      <c r="D358">
        <v>219790000</v>
      </c>
      <c r="E358">
        <v>1646570000</v>
      </c>
      <c r="F358">
        <v>73580000</v>
      </c>
      <c r="G358">
        <v>4921</v>
      </c>
      <c r="H358">
        <v>3.3300000000000003E-2</v>
      </c>
      <c r="I358" t="b">
        <v>0</v>
      </c>
      <c r="J358">
        <v>2004</v>
      </c>
      <c r="K358" t="s">
        <v>25</v>
      </c>
      <c r="L358" t="s">
        <v>12</v>
      </c>
      <c r="M358">
        <v>7.49</v>
      </c>
      <c r="N358">
        <v>14952</v>
      </c>
      <c r="O358">
        <v>21</v>
      </c>
    </row>
    <row r="359" spans="1:15" x14ac:dyDescent="0.25">
      <c r="A359" t="s">
        <v>444</v>
      </c>
      <c r="B359" t="s">
        <v>18</v>
      </c>
      <c r="C359">
        <v>1</v>
      </c>
      <c r="D359">
        <v>261610000</v>
      </c>
      <c r="E359">
        <v>3597080000</v>
      </c>
      <c r="F359">
        <v>72170000</v>
      </c>
      <c r="G359">
        <v>2611</v>
      </c>
      <c r="H359">
        <v>7.5600000000000001E-2</v>
      </c>
      <c r="I359" t="b">
        <v>0</v>
      </c>
      <c r="J359">
        <v>2008</v>
      </c>
      <c r="K359" t="s">
        <v>29</v>
      </c>
      <c r="L359" t="s">
        <v>12</v>
      </c>
      <c r="M359">
        <v>13.75</v>
      </c>
      <c r="N359">
        <v>27641</v>
      </c>
      <c r="O359">
        <v>17</v>
      </c>
    </row>
    <row r="360" spans="1:15" x14ac:dyDescent="0.25">
      <c r="A360" t="s">
        <v>445</v>
      </c>
      <c r="B360" t="s">
        <v>14</v>
      </c>
      <c r="C360">
        <v>5</v>
      </c>
      <c r="D360">
        <v>130380000</v>
      </c>
      <c r="E360">
        <v>895270000</v>
      </c>
      <c r="F360">
        <v>86300000</v>
      </c>
      <c r="G360">
        <v>163</v>
      </c>
      <c r="H360">
        <v>2.12E-2</v>
      </c>
      <c r="I360" t="b">
        <v>1</v>
      </c>
      <c r="J360">
        <v>1995</v>
      </c>
      <c r="K360" t="s">
        <v>25</v>
      </c>
      <c r="L360" t="s">
        <v>20</v>
      </c>
      <c r="M360">
        <v>6.87</v>
      </c>
      <c r="N360">
        <v>529448</v>
      </c>
      <c r="O360">
        <v>30</v>
      </c>
    </row>
    <row r="361" spans="1:15" x14ac:dyDescent="0.25">
      <c r="A361" t="s">
        <v>446</v>
      </c>
      <c r="B361" t="s">
        <v>10</v>
      </c>
      <c r="C361">
        <v>3</v>
      </c>
      <c r="D361">
        <v>13580000</v>
      </c>
      <c r="E361">
        <v>61150000</v>
      </c>
      <c r="F361">
        <v>310000</v>
      </c>
      <c r="G361">
        <v>4786</v>
      </c>
      <c r="H361">
        <v>3.3399999999999999E-2</v>
      </c>
      <c r="I361" t="b">
        <v>0</v>
      </c>
      <c r="J361">
        <v>2017</v>
      </c>
      <c r="K361" t="s">
        <v>15</v>
      </c>
      <c r="L361" t="s">
        <v>12</v>
      </c>
      <c r="M361">
        <v>4.5</v>
      </c>
      <c r="N361">
        <v>65</v>
      </c>
      <c r="O361">
        <v>8</v>
      </c>
    </row>
    <row r="362" spans="1:15" x14ac:dyDescent="0.25">
      <c r="A362" t="s">
        <v>447</v>
      </c>
      <c r="B362" t="s">
        <v>22</v>
      </c>
      <c r="C362">
        <v>2</v>
      </c>
      <c r="D362">
        <v>48920000</v>
      </c>
      <c r="E362">
        <v>425210000</v>
      </c>
      <c r="F362">
        <v>71790000</v>
      </c>
      <c r="G362">
        <v>3318</v>
      </c>
      <c r="H362">
        <v>5.5100000000000003E-2</v>
      </c>
      <c r="I362" t="b">
        <v>1</v>
      </c>
      <c r="J362">
        <v>1990</v>
      </c>
      <c r="K362" t="s">
        <v>38</v>
      </c>
      <c r="L362" t="s">
        <v>12</v>
      </c>
      <c r="M362">
        <v>8.69</v>
      </c>
      <c r="N362">
        <v>21637</v>
      </c>
      <c r="O362">
        <v>35</v>
      </c>
    </row>
    <row r="363" spans="1:15" x14ac:dyDescent="0.25">
      <c r="A363" t="s">
        <v>448</v>
      </c>
      <c r="B363" t="s">
        <v>10</v>
      </c>
      <c r="C363">
        <v>4</v>
      </c>
      <c r="D363">
        <v>6750000</v>
      </c>
      <c r="E363">
        <v>29480000</v>
      </c>
      <c r="F363">
        <v>82980000</v>
      </c>
      <c r="G363">
        <v>2846</v>
      </c>
      <c r="H363">
        <v>5.8000000000000003E-2</v>
      </c>
      <c r="I363" t="b">
        <v>1</v>
      </c>
      <c r="J363">
        <v>1997</v>
      </c>
      <c r="K363" t="s">
        <v>38</v>
      </c>
      <c r="L363" t="s">
        <v>12</v>
      </c>
      <c r="M363">
        <v>4.37</v>
      </c>
      <c r="N363">
        <v>29157</v>
      </c>
      <c r="O363">
        <v>28</v>
      </c>
    </row>
    <row r="364" spans="1:15" x14ac:dyDescent="0.25">
      <c r="A364" t="s">
        <v>449</v>
      </c>
      <c r="B364" t="s">
        <v>22</v>
      </c>
      <c r="C364">
        <v>2</v>
      </c>
      <c r="D364">
        <v>196150000</v>
      </c>
      <c r="E364">
        <v>1732430000</v>
      </c>
      <c r="F364">
        <v>4150000</v>
      </c>
      <c r="G364">
        <v>1781</v>
      </c>
      <c r="H364">
        <v>3.2000000000000002E-3</v>
      </c>
      <c r="I364" t="b">
        <v>0</v>
      </c>
      <c r="J364">
        <v>1996</v>
      </c>
      <c r="K364" t="s">
        <v>38</v>
      </c>
      <c r="L364" t="s">
        <v>20</v>
      </c>
      <c r="M364">
        <v>8.83</v>
      </c>
      <c r="N364">
        <v>2330</v>
      </c>
      <c r="O364">
        <v>29</v>
      </c>
    </row>
    <row r="365" spans="1:15" x14ac:dyDescent="0.25">
      <c r="A365" t="s">
        <v>450</v>
      </c>
      <c r="B365" t="s">
        <v>27</v>
      </c>
      <c r="C365">
        <v>5</v>
      </c>
      <c r="D365">
        <v>100030000</v>
      </c>
      <c r="E365">
        <v>1404780000</v>
      </c>
      <c r="F365">
        <v>87170000</v>
      </c>
      <c r="G365">
        <v>2057</v>
      </c>
      <c r="H365">
        <v>9.4600000000000004E-2</v>
      </c>
      <c r="I365" t="b">
        <v>1</v>
      </c>
      <c r="J365">
        <v>2000</v>
      </c>
      <c r="K365" t="s">
        <v>25</v>
      </c>
      <c r="L365" t="s">
        <v>12</v>
      </c>
      <c r="M365">
        <v>14.04</v>
      </c>
      <c r="N365">
        <v>42377</v>
      </c>
      <c r="O365">
        <v>25</v>
      </c>
    </row>
    <row r="366" spans="1:15" x14ac:dyDescent="0.25">
      <c r="A366" t="s">
        <v>451</v>
      </c>
      <c r="B366" t="s">
        <v>14</v>
      </c>
      <c r="C366">
        <v>1</v>
      </c>
      <c r="D366">
        <v>162970000</v>
      </c>
      <c r="E366">
        <v>1507350000</v>
      </c>
      <c r="F366">
        <v>25740000</v>
      </c>
      <c r="G366">
        <v>2300</v>
      </c>
      <c r="H366">
        <v>7.0000000000000007E-2</v>
      </c>
      <c r="I366" t="b">
        <v>0</v>
      </c>
      <c r="J366">
        <v>1993</v>
      </c>
      <c r="K366" t="s">
        <v>38</v>
      </c>
      <c r="L366" t="s">
        <v>12</v>
      </c>
      <c r="M366">
        <v>9.25</v>
      </c>
      <c r="N366">
        <v>11191</v>
      </c>
      <c r="O366">
        <v>32</v>
      </c>
    </row>
    <row r="367" spans="1:15" x14ac:dyDescent="0.25">
      <c r="A367" t="s">
        <v>452</v>
      </c>
      <c r="B367" t="s">
        <v>72</v>
      </c>
      <c r="C367">
        <v>1</v>
      </c>
      <c r="D367">
        <v>148240000</v>
      </c>
      <c r="E367">
        <v>1541400000</v>
      </c>
      <c r="F367">
        <v>66560000</v>
      </c>
      <c r="G367">
        <v>1701</v>
      </c>
      <c r="H367">
        <v>5.0099999999999999E-2</v>
      </c>
      <c r="I367" t="b">
        <v>0</v>
      </c>
      <c r="J367">
        <v>2014</v>
      </c>
      <c r="K367" t="s">
        <v>29</v>
      </c>
      <c r="L367" t="s">
        <v>12</v>
      </c>
      <c r="M367">
        <v>10.4</v>
      </c>
      <c r="N367">
        <v>39130</v>
      </c>
      <c r="O367">
        <v>11</v>
      </c>
    </row>
    <row r="368" spans="1:15" x14ac:dyDescent="0.25">
      <c r="A368" t="s">
        <v>453</v>
      </c>
      <c r="B368" t="s">
        <v>36</v>
      </c>
      <c r="C368">
        <v>4</v>
      </c>
      <c r="D368">
        <v>24920000</v>
      </c>
      <c r="E368">
        <v>121600000</v>
      </c>
      <c r="F368">
        <v>80060000</v>
      </c>
      <c r="G368">
        <v>2998</v>
      </c>
      <c r="H368">
        <v>9.3399999999999997E-2</v>
      </c>
      <c r="I368" t="b">
        <v>0</v>
      </c>
      <c r="J368">
        <v>2001</v>
      </c>
      <c r="K368" t="s">
        <v>38</v>
      </c>
      <c r="L368" t="s">
        <v>12</v>
      </c>
      <c r="M368">
        <v>4.88</v>
      </c>
      <c r="N368">
        <v>26704</v>
      </c>
      <c r="O368">
        <v>24</v>
      </c>
    </row>
    <row r="369" spans="1:15" x14ac:dyDescent="0.25">
      <c r="A369" t="s">
        <v>66</v>
      </c>
      <c r="B369" t="s">
        <v>27</v>
      </c>
      <c r="C369">
        <v>5</v>
      </c>
      <c r="D369">
        <v>75590000</v>
      </c>
      <c r="E369">
        <v>242660000</v>
      </c>
      <c r="F369">
        <v>23660000</v>
      </c>
      <c r="G369">
        <v>2395</v>
      </c>
      <c r="H369">
        <v>8.4099999999999994E-2</v>
      </c>
      <c r="I369" t="b">
        <v>1</v>
      </c>
      <c r="J369">
        <v>1993</v>
      </c>
      <c r="K369" t="s">
        <v>11</v>
      </c>
      <c r="L369" t="s">
        <v>12</v>
      </c>
      <c r="M369">
        <v>3.21</v>
      </c>
      <c r="N369">
        <v>9879</v>
      </c>
      <c r="O369">
        <v>32</v>
      </c>
    </row>
    <row r="370" spans="1:15" x14ac:dyDescent="0.25">
      <c r="A370" t="s">
        <v>454</v>
      </c>
      <c r="B370" t="s">
        <v>22</v>
      </c>
      <c r="C370">
        <v>1</v>
      </c>
      <c r="D370">
        <v>121280000</v>
      </c>
      <c r="E370">
        <v>427490000</v>
      </c>
      <c r="F370">
        <v>66300000</v>
      </c>
      <c r="G370">
        <v>2474</v>
      </c>
      <c r="H370">
        <v>4.4499999999999998E-2</v>
      </c>
      <c r="I370" t="b">
        <v>0</v>
      </c>
      <c r="J370">
        <v>2015</v>
      </c>
      <c r="K370" t="s">
        <v>15</v>
      </c>
      <c r="L370" t="s">
        <v>12</v>
      </c>
      <c r="M370">
        <v>3.52</v>
      </c>
      <c r="N370">
        <v>26799</v>
      </c>
      <c r="O370">
        <v>10</v>
      </c>
    </row>
    <row r="371" spans="1:15" x14ac:dyDescent="0.25">
      <c r="A371" t="s">
        <v>455</v>
      </c>
      <c r="B371" t="s">
        <v>10</v>
      </c>
      <c r="C371">
        <v>1</v>
      </c>
      <c r="D371">
        <v>66560000</v>
      </c>
      <c r="E371">
        <v>288180000</v>
      </c>
      <c r="F371">
        <v>9320000</v>
      </c>
      <c r="G371">
        <v>1951</v>
      </c>
      <c r="H371">
        <v>9.8100000000000007E-2</v>
      </c>
      <c r="I371" t="b">
        <v>1</v>
      </c>
      <c r="J371">
        <v>2001</v>
      </c>
      <c r="K371" t="s">
        <v>29</v>
      </c>
      <c r="L371" t="s">
        <v>12</v>
      </c>
      <c r="M371">
        <v>4.33</v>
      </c>
      <c r="N371">
        <v>4777</v>
      </c>
      <c r="O371">
        <v>24</v>
      </c>
    </row>
    <row r="372" spans="1:15" x14ac:dyDescent="0.25">
      <c r="A372" t="s">
        <v>456</v>
      </c>
      <c r="B372" t="s">
        <v>72</v>
      </c>
      <c r="C372">
        <v>4</v>
      </c>
      <c r="D372">
        <v>125810000</v>
      </c>
      <c r="E372">
        <v>1281050000</v>
      </c>
      <c r="F372">
        <v>59670000</v>
      </c>
      <c r="G372">
        <v>3814</v>
      </c>
      <c r="H372">
        <v>5.1700000000000003E-2</v>
      </c>
      <c r="I372" t="b">
        <v>1</v>
      </c>
      <c r="J372">
        <v>2013</v>
      </c>
      <c r="K372" t="s">
        <v>38</v>
      </c>
      <c r="L372" t="s">
        <v>12</v>
      </c>
      <c r="M372">
        <v>10.18</v>
      </c>
      <c r="N372">
        <v>15645</v>
      </c>
      <c r="O372">
        <v>12</v>
      </c>
    </row>
    <row r="373" spans="1:15" x14ac:dyDescent="0.25">
      <c r="A373" t="s">
        <v>457</v>
      </c>
      <c r="B373" t="s">
        <v>22</v>
      </c>
      <c r="C373">
        <v>4</v>
      </c>
      <c r="D373">
        <v>61470000</v>
      </c>
      <c r="E373">
        <v>254490000</v>
      </c>
      <c r="F373">
        <v>55000000</v>
      </c>
      <c r="G373">
        <v>2788</v>
      </c>
      <c r="H373">
        <v>1.23E-2</v>
      </c>
      <c r="I373" t="b">
        <v>1</v>
      </c>
      <c r="J373">
        <v>2005</v>
      </c>
      <c r="K373" t="s">
        <v>38</v>
      </c>
      <c r="L373" t="s">
        <v>20</v>
      </c>
      <c r="M373">
        <v>4.1399999999999997</v>
      </c>
      <c r="N373">
        <v>19727</v>
      </c>
      <c r="O373">
        <v>20</v>
      </c>
    </row>
    <row r="374" spans="1:15" x14ac:dyDescent="0.25">
      <c r="A374" t="s">
        <v>458</v>
      </c>
      <c r="B374" t="s">
        <v>22</v>
      </c>
      <c r="C374">
        <v>5</v>
      </c>
      <c r="D374">
        <v>252220000</v>
      </c>
      <c r="E374">
        <v>1894660000</v>
      </c>
      <c r="F374">
        <v>90040000</v>
      </c>
      <c r="G374">
        <v>3649</v>
      </c>
      <c r="H374">
        <v>7.6700000000000004E-2</v>
      </c>
      <c r="I374" t="b">
        <v>1</v>
      </c>
      <c r="J374">
        <v>2002</v>
      </c>
      <c r="K374" t="s">
        <v>11</v>
      </c>
      <c r="L374" t="s">
        <v>12</v>
      </c>
      <c r="M374">
        <v>7.51</v>
      </c>
      <c r="N374">
        <v>24675</v>
      </c>
      <c r="O374">
        <v>23</v>
      </c>
    </row>
    <row r="375" spans="1:15" x14ac:dyDescent="0.25">
      <c r="A375" t="s">
        <v>459</v>
      </c>
      <c r="B375" t="s">
        <v>18</v>
      </c>
      <c r="C375">
        <v>1</v>
      </c>
      <c r="D375">
        <v>52670000</v>
      </c>
      <c r="E375">
        <v>505690000</v>
      </c>
      <c r="F375">
        <v>40480000</v>
      </c>
      <c r="G375">
        <v>2505</v>
      </c>
      <c r="H375">
        <v>6.8199999999999997E-2</v>
      </c>
      <c r="I375" t="b">
        <v>1</v>
      </c>
      <c r="J375">
        <v>2014</v>
      </c>
      <c r="K375" t="s">
        <v>25</v>
      </c>
      <c r="L375" t="s">
        <v>23</v>
      </c>
      <c r="M375">
        <v>9.6</v>
      </c>
      <c r="N375">
        <v>16160</v>
      </c>
      <c r="O375">
        <v>11</v>
      </c>
    </row>
    <row r="376" spans="1:15" x14ac:dyDescent="0.25">
      <c r="A376" t="s">
        <v>460</v>
      </c>
      <c r="B376" t="s">
        <v>22</v>
      </c>
      <c r="C376">
        <v>1</v>
      </c>
      <c r="D376">
        <v>288250000</v>
      </c>
      <c r="E376">
        <v>2209100000</v>
      </c>
      <c r="F376">
        <v>32180000</v>
      </c>
      <c r="G376">
        <v>3650</v>
      </c>
      <c r="H376">
        <v>7.7499999999999999E-2</v>
      </c>
      <c r="I376" t="b">
        <v>0</v>
      </c>
      <c r="J376">
        <v>1993</v>
      </c>
      <c r="K376" t="s">
        <v>29</v>
      </c>
      <c r="L376" t="s">
        <v>12</v>
      </c>
      <c r="M376">
        <v>7.66</v>
      </c>
      <c r="N376">
        <v>8816</v>
      </c>
      <c r="O376">
        <v>32</v>
      </c>
    </row>
    <row r="377" spans="1:15" x14ac:dyDescent="0.25">
      <c r="A377" t="s">
        <v>461</v>
      </c>
      <c r="B377" t="s">
        <v>36</v>
      </c>
      <c r="C377">
        <v>5</v>
      </c>
      <c r="D377">
        <v>125060000</v>
      </c>
      <c r="E377">
        <v>620820000</v>
      </c>
      <c r="F377">
        <v>75010000</v>
      </c>
      <c r="G377">
        <v>2650</v>
      </c>
      <c r="H377">
        <v>9.5200000000000007E-2</v>
      </c>
      <c r="I377" t="b">
        <v>0</v>
      </c>
      <c r="J377">
        <v>2000</v>
      </c>
      <c r="K377" t="s">
        <v>11</v>
      </c>
      <c r="L377" t="s">
        <v>12</v>
      </c>
      <c r="M377">
        <v>4.96</v>
      </c>
      <c r="N377">
        <v>28306</v>
      </c>
      <c r="O377">
        <v>25</v>
      </c>
    </row>
    <row r="378" spans="1:15" x14ac:dyDescent="0.25">
      <c r="A378" t="s">
        <v>462</v>
      </c>
      <c r="B378" t="s">
        <v>14</v>
      </c>
      <c r="C378">
        <v>3</v>
      </c>
      <c r="D378">
        <v>253950000</v>
      </c>
      <c r="E378">
        <v>1596200000</v>
      </c>
      <c r="F378">
        <v>41330000</v>
      </c>
      <c r="G378">
        <v>2354</v>
      </c>
      <c r="H378">
        <v>7.7899999999999997E-2</v>
      </c>
      <c r="I378" t="b">
        <v>0</v>
      </c>
      <c r="J378">
        <v>2021</v>
      </c>
      <c r="K378" t="s">
        <v>15</v>
      </c>
      <c r="L378" t="s">
        <v>12</v>
      </c>
      <c r="M378">
        <v>6.29</v>
      </c>
      <c r="N378">
        <v>17557</v>
      </c>
      <c r="O378">
        <v>4</v>
      </c>
    </row>
    <row r="379" spans="1:15" x14ac:dyDescent="0.25">
      <c r="A379" t="s">
        <v>463</v>
      </c>
      <c r="B379" t="s">
        <v>36</v>
      </c>
      <c r="C379">
        <v>3</v>
      </c>
      <c r="D379">
        <v>188820000</v>
      </c>
      <c r="E379">
        <v>2669880000</v>
      </c>
      <c r="F379">
        <v>64650000</v>
      </c>
      <c r="G379">
        <v>1937</v>
      </c>
      <c r="H379">
        <v>6.1499999999999999E-2</v>
      </c>
      <c r="I379" t="b">
        <v>1</v>
      </c>
      <c r="J379">
        <v>1996</v>
      </c>
      <c r="K379" t="s">
        <v>25</v>
      </c>
      <c r="L379" t="s">
        <v>12</v>
      </c>
      <c r="M379">
        <v>14.14</v>
      </c>
      <c r="N379">
        <v>33376</v>
      </c>
      <c r="O379">
        <v>29</v>
      </c>
    </row>
    <row r="380" spans="1:15" x14ac:dyDescent="0.25">
      <c r="A380" t="s">
        <v>67</v>
      </c>
      <c r="B380" t="s">
        <v>31</v>
      </c>
      <c r="C380">
        <v>3</v>
      </c>
      <c r="D380">
        <v>190110000</v>
      </c>
      <c r="E380">
        <v>1127310000</v>
      </c>
      <c r="F380">
        <v>37210000</v>
      </c>
      <c r="G380">
        <v>951</v>
      </c>
      <c r="H380">
        <v>1.52E-2</v>
      </c>
      <c r="I380" t="b">
        <v>0</v>
      </c>
      <c r="J380">
        <v>2005</v>
      </c>
      <c r="K380" t="s">
        <v>29</v>
      </c>
      <c r="L380" t="s">
        <v>12</v>
      </c>
      <c r="M380">
        <v>5.93</v>
      </c>
      <c r="N380">
        <v>39127</v>
      </c>
      <c r="O380">
        <v>20</v>
      </c>
    </row>
    <row r="381" spans="1:15" x14ac:dyDescent="0.25">
      <c r="A381" t="s">
        <v>464</v>
      </c>
      <c r="B381" t="s">
        <v>31</v>
      </c>
      <c r="C381">
        <v>3</v>
      </c>
      <c r="D381">
        <v>220740000</v>
      </c>
      <c r="E381">
        <v>2452820000</v>
      </c>
      <c r="F381">
        <v>64680000</v>
      </c>
      <c r="G381">
        <v>3299</v>
      </c>
      <c r="H381">
        <v>8.5900000000000004E-2</v>
      </c>
      <c r="I381" t="b">
        <v>1</v>
      </c>
      <c r="J381">
        <v>2000</v>
      </c>
      <c r="K381" t="s">
        <v>29</v>
      </c>
      <c r="L381" t="s">
        <v>20</v>
      </c>
      <c r="M381">
        <v>11.11</v>
      </c>
      <c r="N381">
        <v>19606</v>
      </c>
      <c r="O381">
        <v>25</v>
      </c>
    </row>
    <row r="382" spans="1:15" x14ac:dyDescent="0.25">
      <c r="A382" t="s">
        <v>465</v>
      </c>
      <c r="B382" t="s">
        <v>72</v>
      </c>
      <c r="C382">
        <v>5</v>
      </c>
      <c r="D382">
        <v>230430000</v>
      </c>
      <c r="E382">
        <v>2062940000</v>
      </c>
      <c r="F382">
        <v>88820000</v>
      </c>
      <c r="G382">
        <v>1762</v>
      </c>
      <c r="H382">
        <v>6.7699999999999996E-2</v>
      </c>
      <c r="I382" t="b">
        <v>0</v>
      </c>
      <c r="J382">
        <v>2017</v>
      </c>
      <c r="K382" t="s">
        <v>38</v>
      </c>
      <c r="L382" t="s">
        <v>12</v>
      </c>
      <c r="M382">
        <v>8.9499999999999993</v>
      </c>
      <c r="N382">
        <v>50409</v>
      </c>
      <c r="O382">
        <v>8</v>
      </c>
    </row>
    <row r="383" spans="1:15" x14ac:dyDescent="0.25">
      <c r="A383" t="s">
        <v>466</v>
      </c>
      <c r="B383" t="s">
        <v>14</v>
      </c>
      <c r="C383">
        <v>1</v>
      </c>
      <c r="D383">
        <v>151700000</v>
      </c>
      <c r="E383">
        <v>478250000</v>
      </c>
      <c r="F383">
        <v>59910000</v>
      </c>
      <c r="G383">
        <v>1121</v>
      </c>
      <c r="H383">
        <v>4.1399999999999999E-2</v>
      </c>
      <c r="I383" t="b">
        <v>1</v>
      </c>
      <c r="J383">
        <v>2012</v>
      </c>
      <c r="K383" t="s">
        <v>29</v>
      </c>
      <c r="L383" t="s">
        <v>12</v>
      </c>
      <c r="M383">
        <v>3.15</v>
      </c>
      <c r="N383">
        <v>53443</v>
      </c>
      <c r="O383">
        <v>13</v>
      </c>
    </row>
    <row r="384" spans="1:15" x14ac:dyDescent="0.25">
      <c r="A384" t="s">
        <v>467</v>
      </c>
      <c r="B384" t="s">
        <v>18</v>
      </c>
      <c r="C384">
        <v>5</v>
      </c>
      <c r="D384">
        <v>163220000</v>
      </c>
      <c r="E384">
        <v>2433440000</v>
      </c>
      <c r="F384">
        <v>50270000</v>
      </c>
      <c r="G384">
        <v>2572</v>
      </c>
      <c r="H384">
        <v>8.8700000000000001E-2</v>
      </c>
      <c r="I384" t="b">
        <v>1</v>
      </c>
      <c r="J384">
        <v>2012</v>
      </c>
      <c r="K384" t="s">
        <v>38</v>
      </c>
      <c r="L384" t="s">
        <v>23</v>
      </c>
      <c r="M384">
        <v>14.91</v>
      </c>
      <c r="N384">
        <v>19545</v>
      </c>
      <c r="O384">
        <v>13</v>
      </c>
    </row>
    <row r="385" spans="1:15" x14ac:dyDescent="0.25">
      <c r="A385" t="s">
        <v>468</v>
      </c>
      <c r="B385" t="s">
        <v>14</v>
      </c>
      <c r="C385">
        <v>5</v>
      </c>
      <c r="D385">
        <v>154440000</v>
      </c>
      <c r="E385">
        <v>1707710000</v>
      </c>
      <c r="F385">
        <v>13970000</v>
      </c>
      <c r="G385">
        <v>3504</v>
      </c>
      <c r="H385">
        <v>2.3E-2</v>
      </c>
      <c r="I385" t="b">
        <v>0</v>
      </c>
      <c r="J385">
        <v>2017</v>
      </c>
      <c r="K385" t="s">
        <v>25</v>
      </c>
      <c r="L385" t="s">
        <v>12</v>
      </c>
      <c r="M385">
        <v>11.06</v>
      </c>
      <c r="N385">
        <v>3987</v>
      </c>
      <c r="O385">
        <v>8</v>
      </c>
    </row>
    <row r="386" spans="1:15" x14ac:dyDescent="0.25">
      <c r="A386" t="s">
        <v>469</v>
      </c>
      <c r="B386" t="s">
        <v>14</v>
      </c>
      <c r="C386">
        <v>3</v>
      </c>
      <c r="D386">
        <v>176620000</v>
      </c>
      <c r="E386">
        <v>1201560000</v>
      </c>
      <c r="F386">
        <v>11660000</v>
      </c>
      <c r="G386">
        <v>497</v>
      </c>
      <c r="H386">
        <v>7.17E-2</v>
      </c>
      <c r="I386" t="b">
        <v>0</v>
      </c>
      <c r="J386">
        <v>2015</v>
      </c>
      <c r="K386" t="s">
        <v>38</v>
      </c>
      <c r="L386" t="s">
        <v>20</v>
      </c>
      <c r="M386">
        <v>6.8</v>
      </c>
      <c r="N386">
        <v>23461</v>
      </c>
      <c r="O386">
        <v>10</v>
      </c>
    </row>
    <row r="387" spans="1:15" x14ac:dyDescent="0.25">
      <c r="A387" t="s">
        <v>470</v>
      </c>
      <c r="B387" t="s">
        <v>10</v>
      </c>
      <c r="C387">
        <v>2</v>
      </c>
      <c r="D387">
        <v>9300000</v>
      </c>
      <c r="E387">
        <v>126030000</v>
      </c>
      <c r="F387">
        <v>15520000</v>
      </c>
      <c r="G387">
        <v>3311</v>
      </c>
      <c r="H387">
        <v>8.8300000000000003E-2</v>
      </c>
      <c r="I387" t="b">
        <v>0</v>
      </c>
      <c r="J387">
        <v>2014</v>
      </c>
      <c r="K387" t="s">
        <v>15</v>
      </c>
      <c r="L387" t="s">
        <v>12</v>
      </c>
      <c r="M387">
        <v>13.55</v>
      </c>
      <c r="N387">
        <v>4687</v>
      </c>
      <c r="O387">
        <v>11</v>
      </c>
    </row>
    <row r="388" spans="1:15" x14ac:dyDescent="0.25">
      <c r="A388" t="s">
        <v>471</v>
      </c>
      <c r="B388" t="s">
        <v>14</v>
      </c>
      <c r="C388">
        <v>1</v>
      </c>
      <c r="D388">
        <v>118960000</v>
      </c>
      <c r="E388">
        <v>725800000</v>
      </c>
      <c r="F388">
        <v>17270000</v>
      </c>
      <c r="G388">
        <v>624</v>
      </c>
      <c r="H388">
        <v>7.3400000000000007E-2</v>
      </c>
      <c r="I388" t="b">
        <v>0</v>
      </c>
      <c r="J388">
        <v>2018</v>
      </c>
      <c r="K388" t="s">
        <v>38</v>
      </c>
      <c r="L388" t="s">
        <v>12</v>
      </c>
      <c r="M388">
        <v>6.1</v>
      </c>
      <c r="N388">
        <v>27676</v>
      </c>
      <c r="O388">
        <v>7</v>
      </c>
    </row>
    <row r="389" spans="1:15" x14ac:dyDescent="0.25">
      <c r="A389" t="s">
        <v>472</v>
      </c>
      <c r="B389" t="s">
        <v>18</v>
      </c>
      <c r="C389">
        <v>3</v>
      </c>
      <c r="D389">
        <v>182050000</v>
      </c>
      <c r="E389">
        <v>1734610000</v>
      </c>
      <c r="F389">
        <v>63820000</v>
      </c>
      <c r="G389">
        <v>3237</v>
      </c>
      <c r="H389">
        <v>7.0000000000000007E-2</v>
      </c>
      <c r="I389" t="b">
        <v>0</v>
      </c>
      <c r="J389">
        <v>2008</v>
      </c>
      <c r="K389" t="s">
        <v>15</v>
      </c>
      <c r="L389" t="s">
        <v>20</v>
      </c>
      <c r="M389">
        <v>9.5299999999999994</v>
      </c>
      <c r="N389">
        <v>19716</v>
      </c>
      <c r="O389">
        <v>17</v>
      </c>
    </row>
    <row r="390" spans="1:15" x14ac:dyDescent="0.25">
      <c r="A390" t="s">
        <v>473</v>
      </c>
      <c r="B390" t="s">
        <v>36</v>
      </c>
      <c r="C390">
        <v>2</v>
      </c>
      <c r="D390">
        <v>179520000</v>
      </c>
      <c r="E390">
        <v>1908810000</v>
      </c>
      <c r="F390">
        <v>74120000</v>
      </c>
      <c r="G390">
        <v>3828</v>
      </c>
      <c r="H390">
        <v>7.5499999999999998E-2</v>
      </c>
      <c r="I390" t="b">
        <v>0</v>
      </c>
      <c r="J390">
        <v>2022</v>
      </c>
      <c r="K390" t="s">
        <v>25</v>
      </c>
      <c r="L390" t="s">
        <v>12</v>
      </c>
      <c r="M390">
        <v>10.63</v>
      </c>
      <c r="N390">
        <v>19363</v>
      </c>
      <c r="O390">
        <v>3</v>
      </c>
    </row>
    <row r="391" spans="1:15" x14ac:dyDescent="0.25">
      <c r="A391" t="s">
        <v>68</v>
      </c>
      <c r="B391" t="s">
        <v>22</v>
      </c>
      <c r="C391">
        <v>5</v>
      </c>
      <c r="D391">
        <v>148540000</v>
      </c>
      <c r="E391">
        <v>1926640000</v>
      </c>
      <c r="F391">
        <v>6350000</v>
      </c>
      <c r="G391">
        <v>1382</v>
      </c>
      <c r="H391">
        <v>4.36E-2</v>
      </c>
      <c r="I391" t="b">
        <v>0</v>
      </c>
      <c r="J391">
        <v>2017</v>
      </c>
      <c r="K391" t="s">
        <v>15</v>
      </c>
      <c r="L391" t="s">
        <v>12</v>
      </c>
      <c r="M391">
        <v>12.97</v>
      </c>
      <c r="N391">
        <v>4595</v>
      </c>
      <c r="O391">
        <v>8</v>
      </c>
    </row>
    <row r="392" spans="1:15" x14ac:dyDescent="0.25">
      <c r="A392" t="s">
        <v>474</v>
      </c>
      <c r="B392" t="s">
        <v>14</v>
      </c>
      <c r="C392">
        <v>2</v>
      </c>
      <c r="D392">
        <v>237990000</v>
      </c>
      <c r="E392">
        <v>1345300000</v>
      </c>
      <c r="F392">
        <v>53050000</v>
      </c>
      <c r="G392">
        <v>2385</v>
      </c>
      <c r="H392">
        <v>4.7E-2</v>
      </c>
      <c r="I392" t="b">
        <v>0</v>
      </c>
      <c r="J392">
        <v>2003</v>
      </c>
      <c r="K392" t="s">
        <v>25</v>
      </c>
      <c r="L392" t="s">
        <v>23</v>
      </c>
      <c r="M392">
        <v>5.65</v>
      </c>
      <c r="N392">
        <v>22243</v>
      </c>
      <c r="O392">
        <v>22</v>
      </c>
    </row>
    <row r="393" spans="1:15" x14ac:dyDescent="0.25">
      <c r="A393" t="s">
        <v>475</v>
      </c>
      <c r="B393" t="s">
        <v>27</v>
      </c>
      <c r="C393">
        <v>4</v>
      </c>
      <c r="D393">
        <v>196680000</v>
      </c>
      <c r="E393">
        <v>2899210000</v>
      </c>
      <c r="F393">
        <v>82920000</v>
      </c>
      <c r="G393">
        <v>1551</v>
      </c>
      <c r="H393">
        <v>8.7499999999999994E-2</v>
      </c>
      <c r="I393" t="b">
        <v>0</v>
      </c>
      <c r="J393">
        <v>2003</v>
      </c>
      <c r="K393" t="s">
        <v>29</v>
      </c>
      <c r="L393" t="s">
        <v>20</v>
      </c>
      <c r="M393">
        <v>14.74</v>
      </c>
      <c r="N393">
        <v>53462</v>
      </c>
      <c r="O393">
        <v>22</v>
      </c>
    </row>
    <row r="394" spans="1:15" x14ac:dyDescent="0.25">
      <c r="A394" t="s">
        <v>476</v>
      </c>
      <c r="B394" t="s">
        <v>72</v>
      </c>
      <c r="C394">
        <v>1</v>
      </c>
      <c r="D394">
        <v>297640000</v>
      </c>
      <c r="E394">
        <v>3565220000</v>
      </c>
      <c r="F394">
        <v>99130000</v>
      </c>
      <c r="G394">
        <v>4963</v>
      </c>
      <c r="H394">
        <v>2.1100000000000001E-2</v>
      </c>
      <c r="I394" t="b">
        <v>1</v>
      </c>
      <c r="J394">
        <v>2019</v>
      </c>
      <c r="K394" t="s">
        <v>15</v>
      </c>
      <c r="L394" t="s">
        <v>23</v>
      </c>
      <c r="M394">
        <v>11.98</v>
      </c>
      <c r="N394">
        <v>19974</v>
      </c>
      <c r="O394">
        <v>6</v>
      </c>
    </row>
    <row r="395" spans="1:15" x14ac:dyDescent="0.25">
      <c r="A395" t="s">
        <v>477</v>
      </c>
      <c r="B395" t="s">
        <v>14</v>
      </c>
      <c r="C395">
        <v>2</v>
      </c>
      <c r="D395">
        <v>85510000</v>
      </c>
      <c r="E395">
        <v>828910000</v>
      </c>
      <c r="F395">
        <v>82020000</v>
      </c>
      <c r="G395">
        <v>3568</v>
      </c>
      <c r="H395">
        <v>1.3599999999999999E-2</v>
      </c>
      <c r="I395" t="b">
        <v>0</v>
      </c>
      <c r="J395">
        <v>2017</v>
      </c>
      <c r="K395" t="s">
        <v>15</v>
      </c>
      <c r="L395" t="s">
        <v>12</v>
      </c>
      <c r="M395">
        <v>9.69</v>
      </c>
      <c r="N395">
        <v>22988</v>
      </c>
      <c r="O395">
        <v>8</v>
      </c>
    </row>
    <row r="396" spans="1:15" x14ac:dyDescent="0.25">
      <c r="A396" t="s">
        <v>478</v>
      </c>
      <c r="B396" t="s">
        <v>72</v>
      </c>
      <c r="C396">
        <v>3</v>
      </c>
      <c r="D396">
        <v>108070000</v>
      </c>
      <c r="E396">
        <v>558410000</v>
      </c>
      <c r="F396">
        <v>69520000</v>
      </c>
      <c r="G396">
        <v>1610</v>
      </c>
      <c r="H396">
        <v>2.93E-2</v>
      </c>
      <c r="I396" t="b">
        <v>1</v>
      </c>
      <c r="J396">
        <v>2006</v>
      </c>
      <c r="K396" t="s">
        <v>11</v>
      </c>
      <c r="L396" t="s">
        <v>12</v>
      </c>
      <c r="M396">
        <v>5.17</v>
      </c>
      <c r="N396">
        <v>43180</v>
      </c>
      <c r="O396">
        <v>19</v>
      </c>
    </row>
    <row r="397" spans="1:15" x14ac:dyDescent="0.25">
      <c r="A397" t="s">
        <v>479</v>
      </c>
      <c r="B397" t="s">
        <v>27</v>
      </c>
      <c r="C397">
        <v>4</v>
      </c>
      <c r="D397">
        <v>115460000</v>
      </c>
      <c r="E397">
        <v>421000000</v>
      </c>
      <c r="F397">
        <v>53300000</v>
      </c>
      <c r="G397">
        <v>3757</v>
      </c>
      <c r="H397">
        <v>5.3600000000000002E-2</v>
      </c>
      <c r="I397" t="b">
        <v>0</v>
      </c>
      <c r="J397">
        <v>1992</v>
      </c>
      <c r="K397" t="s">
        <v>11</v>
      </c>
      <c r="L397" t="s">
        <v>12</v>
      </c>
      <c r="M397">
        <v>3.65</v>
      </c>
      <c r="N397">
        <v>14187</v>
      </c>
      <c r="O397">
        <v>33</v>
      </c>
    </row>
    <row r="398" spans="1:15" x14ac:dyDescent="0.25">
      <c r="A398" t="s">
        <v>480</v>
      </c>
      <c r="B398" t="s">
        <v>27</v>
      </c>
      <c r="C398">
        <v>1</v>
      </c>
      <c r="D398">
        <v>140010000</v>
      </c>
      <c r="E398">
        <v>957770000</v>
      </c>
      <c r="F398">
        <v>44940000</v>
      </c>
      <c r="G398">
        <v>4680</v>
      </c>
      <c r="H398">
        <v>5.1499999999999997E-2</v>
      </c>
      <c r="I398" t="b">
        <v>0</v>
      </c>
      <c r="J398">
        <v>2005</v>
      </c>
      <c r="K398" t="s">
        <v>11</v>
      </c>
      <c r="L398" t="s">
        <v>20</v>
      </c>
      <c r="M398">
        <v>6.84</v>
      </c>
      <c r="N398">
        <v>9603</v>
      </c>
      <c r="O398">
        <v>20</v>
      </c>
    </row>
    <row r="399" spans="1:15" x14ac:dyDescent="0.25">
      <c r="A399" t="s">
        <v>481</v>
      </c>
      <c r="B399" t="s">
        <v>72</v>
      </c>
      <c r="C399">
        <v>5</v>
      </c>
      <c r="D399">
        <v>250880000</v>
      </c>
      <c r="E399">
        <v>3020160000</v>
      </c>
      <c r="F399">
        <v>8530000</v>
      </c>
      <c r="G399">
        <v>1895</v>
      </c>
      <c r="H399">
        <v>8.2199999999999995E-2</v>
      </c>
      <c r="I399" t="b">
        <v>1</v>
      </c>
      <c r="J399">
        <v>2019</v>
      </c>
      <c r="K399" t="s">
        <v>38</v>
      </c>
      <c r="L399" t="s">
        <v>20</v>
      </c>
      <c r="M399">
        <v>12.04</v>
      </c>
      <c r="N399">
        <v>4501</v>
      </c>
      <c r="O399">
        <v>6</v>
      </c>
    </row>
    <row r="400" spans="1:15" x14ac:dyDescent="0.25">
      <c r="A400" t="s">
        <v>482</v>
      </c>
      <c r="B400" t="s">
        <v>22</v>
      </c>
      <c r="C400">
        <v>3</v>
      </c>
      <c r="D400">
        <v>71120000</v>
      </c>
      <c r="E400">
        <v>443220000</v>
      </c>
      <c r="F400">
        <v>40000000</v>
      </c>
      <c r="G400">
        <v>1280</v>
      </c>
      <c r="H400">
        <v>4.1099999999999998E-2</v>
      </c>
      <c r="I400" t="b">
        <v>0</v>
      </c>
      <c r="J400">
        <v>2018</v>
      </c>
      <c r="K400" t="s">
        <v>11</v>
      </c>
      <c r="L400" t="s">
        <v>12</v>
      </c>
      <c r="M400">
        <v>6.23</v>
      </c>
      <c r="N400">
        <v>31250</v>
      </c>
      <c r="O400">
        <v>7</v>
      </c>
    </row>
    <row r="401" spans="1:15" x14ac:dyDescent="0.25">
      <c r="A401" t="s">
        <v>483</v>
      </c>
      <c r="B401" t="s">
        <v>31</v>
      </c>
      <c r="C401">
        <v>2</v>
      </c>
      <c r="D401">
        <v>232910000</v>
      </c>
      <c r="E401">
        <v>2206750000</v>
      </c>
      <c r="F401">
        <v>91020000</v>
      </c>
      <c r="G401">
        <v>2748</v>
      </c>
      <c r="H401">
        <v>4.9000000000000002E-2</v>
      </c>
      <c r="I401" t="b">
        <v>0</v>
      </c>
      <c r="J401">
        <v>2004</v>
      </c>
      <c r="K401" t="s">
        <v>15</v>
      </c>
      <c r="L401" t="s">
        <v>12</v>
      </c>
      <c r="M401">
        <v>9.4700000000000006</v>
      </c>
      <c r="N401">
        <v>33122</v>
      </c>
      <c r="O401">
        <v>21</v>
      </c>
    </row>
    <row r="402" spans="1:15" x14ac:dyDescent="0.25">
      <c r="A402" t="s">
        <v>69</v>
      </c>
      <c r="B402" t="s">
        <v>18</v>
      </c>
      <c r="C402">
        <v>5</v>
      </c>
      <c r="D402">
        <v>172200000</v>
      </c>
      <c r="E402">
        <v>2303230000</v>
      </c>
      <c r="F402">
        <v>80160000</v>
      </c>
      <c r="G402">
        <v>1444</v>
      </c>
      <c r="H402">
        <v>9.0499999999999997E-2</v>
      </c>
      <c r="I402" t="b">
        <v>1</v>
      </c>
      <c r="J402">
        <v>2005</v>
      </c>
      <c r="K402" t="s">
        <v>38</v>
      </c>
      <c r="L402" t="s">
        <v>12</v>
      </c>
      <c r="M402">
        <v>13.38</v>
      </c>
      <c r="N402">
        <v>55512</v>
      </c>
      <c r="O402">
        <v>20</v>
      </c>
    </row>
    <row r="403" spans="1:15" x14ac:dyDescent="0.25">
      <c r="A403" t="s">
        <v>484</v>
      </c>
      <c r="B403" t="s">
        <v>10</v>
      </c>
      <c r="C403">
        <v>2</v>
      </c>
      <c r="D403">
        <v>121890000</v>
      </c>
      <c r="E403">
        <v>1430420000</v>
      </c>
      <c r="F403">
        <v>80820000</v>
      </c>
      <c r="G403">
        <v>2498</v>
      </c>
      <c r="H403">
        <v>2.3E-3</v>
      </c>
      <c r="I403" t="b">
        <v>1</v>
      </c>
      <c r="J403">
        <v>2014</v>
      </c>
      <c r="K403" t="s">
        <v>38</v>
      </c>
      <c r="L403" t="s">
        <v>12</v>
      </c>
      <c r="M403">
        <v>11.74</v>
      </c>
      <c r="N403">
        <v>32354</v>
      </c>
      <c r="O403">
        <v>11</v>
      </c>
    </row>
    <row r="404" spans="1:15" x14ac:dyDescent="0.25">
      <c r="A404" t="s">
        <v>485</v>
      </c>
      <c r="B404" t="s">
        <v>22</v>
      </c>
      <c r="C404">
        <v>3</v>
      </c>
      <c r="D404">
        <v>180760000</v>
      </c>
      <c r="E404">
        <v>776420000</v>
      </c>
      <c r="F404">
        <v>21680000</v>
      </c>
      <c r="G404">
        <v>361</v>
      </c>
      <c r="H404">
        <v>4.1599999999999998E-2</v>
      </c>
      <c r="I404" t="b">
        <v>0</v>
      </c>
      <c r="J404">
        <v>2012</v>
      </c>
      <c r="K404" t="s">
        <v>25</v>
      </c>
      <c r="L404" t="s">
        <v>20</v>
      </c>
      <c r="M404">
        <v>4.3</v>
      </c>
      <c r="N404">
        <v>60055</v>
      </c>
      <c r="O404">
        <v>13</v>
      </c>
    </row>
    <row r="405" spans="1:15" x14ac:dyDescent="0.25">
      <c r="A405" t="s">
        <v>486</v>
      </c>
      <c r="B405" t="s">
        <v>22</v>
      </c>
      <c r="C405">
        <v>2</v>
      </c>
      <c r="D405">
        <v>189950000</v>
      </c>
      <c r="E405">
        <v>2131920000</v>
      </c>
      <c r="F405">
        <v>46710000</v>
      </c>
      <c r="G405">
        <v>874</v>
      </c>
      <c r="H405">
        <v>6.5100000000000005E-2</v>
      </c>
      <c r="I405" t="b">
        <v>0</v>
      </c>
      <c r="J405">
        <v>2014</v>
      </c>
      <c r="K405" t="s">
        <v>29</v>
      </c>
      <c r="L405" t="s">
        <v>12</v>
      </c>
      <c r="M405">
        <v>11.22</v>
      </c>
      <c r="N405">
        <v>53444</v>
      </c>
      <c r="O405">
        <v>11</v>
      </c>
    </row>
    <row r="406" spans="1:15" x14ac:dyDescent="0.25">
      <c r="A406" t="s">
        <v>487</v>
      </c>
      <c r="B406" t="s">
        <v>36</v>
      </c>
      <c r="C406">
        <v>4</v>
      </c>
      <c r="D406">
        <v>112170000</v>
      </c>
      <c r="E406">
        <v>460170000</v>
      </c>
      <c r="F406">
        <v>81690000</v>
      </c>
      <c r="G406">
        <v>890</v>
      </c>
      <c r="H406">
        <v>2.5000000000000001E-3</v>
      </c>
      <c r="I406" t="b">
        <v>0</v>
      </c>
      <c r="J406">
        <v>1996</v>
      </c>
      <c r="K406" t="s">
        <v>11</v>
      </c>
      <c r="L406" t="s">
        <v>12</v>
      </c>
      <c r="M406">
        <v>4.0999999999999996</v>
      </c>
      <c r="N406">
        <v>91787</v>
      </c>
      <c r="O406">
        <v>29</v>
      </c>
    </row>
    <row r="407" spans="1:15" x14ac:dyDescent="0.25">
      <c r="A407" t="s">
        <v>488</v>
      </c>
      <c r="B407" t="s">
        <v>10</v>
      </c>
      <c r="C407">
        <v>1</v>
      </c>
      <c r="D407">
        <v>154030000</v>
      </c>
      <c r="E407">
        <v>2246000000</v>
      </c>
      <c r="F407">
        <v>6830000</v>
      </c>
      <c r="G407">
        <v>2006</v>
      </c>
      <c r="H407">
        <v>2.8799999999999999E-2</v>
      </c>
      <c r="I407" t="b">
        <v>0</v>
      </c>
      <c r="J407">
        <v>2011</v>
      </c>
      <c r="K407" t="s">
        <v>25</v>
      </c>
      <c r="L407" t="s">
        <v>12</v>
      </c>
      <c r="M407">
        <v>14.58</v>
      </c>
      <c r="N407">
        <v>3405</v>
      </c>
      <c r="O407">
        <v>14</v>
      </c>
    </row>
    <row r="408" spans="1:15" x14ac:dyDescent="0.25">
      <c r="A408" t="s">
        <v>489</v>
      </c>
      <c r="B408" t="s">
        <v>10</v>
      </c>
      <c r="C408">
        <v>4</v>
      </c>
      <c r="D408">
        <v>124200000</v>
      </c>
      <c r="E408">
        <v>1100500000</v>
      </c>
      <c r="F408">
        <v>38800000</v>
      </c>
      <c r="G408">
        <v>1288</v>
      </c>
      <c r="H408">
        <v>2.1600000000000001E-2</v>
      </c>
      <c r="I408" t="b">
        <v>0</v>
      </c>
      <c r="J408">
        <v>2006</v>
      </c>
      <c r="K408" t="s">
        <v>15</v>
      </c>
      <c r="L408" t="s">
        <v>12</v>
      </c>
      <c r="M408">
        <v>8.86</v>
      </c>
      <c r="N408">
        <v>30124</v>
      </c>
      <c r="O408">
        <v>19</v>
      </c>
    </row>
    <row r="409" spans="1:15" x14ac:dyDescent="0.25">
      <c r="A409" t="s">
        <v>490</v>
      </c>
      <c r="B409" t="s">
        <v>22</v>
      </c>
      <c r="C409">
        <v>2</v>
      </c>
      <c r="D409">
        <v>21210000</v>
      </c>
      <c r="E409">
        <v>101980000</v>
      </c>
      <c r="F409">
        <v>85200000</v>
      </c>
      <c r="G409">
        <v>624</v>
      </c>
      <c r="H409">
        <v>5.1999999999999998E-3</v>
      </c>
      <c r="I409" t="b">
        <v>0</v>
      </c>
      <c r="J409">
        <v>2007</v>
      </c>
      <c r="K409" t="s">
        <v>29</v>
      </c>
      <c r="L409" t="s">
        <v>20</v>
      </c>
      <c r="M409">
        <v>4.8099999999999996</v>
      </c>
      <c r="N409">
        <v>136538</v>
      </c>
      <c r="O409">
        <v>18</v>
      </c>
    </row>
    <row r="410" spans="1:15" x14ac:dyDescent="0.25">
      <c r="A410" t="s">
        <v>491</v>
      </c>
      <c r="B410" t="s">
        <v>14</v>
      </c>
      <c r="C410">
        <v>5</v>
      </c>
      <c r="D410">
        <v>131430000</v>
      </c>
      <c r="E410">
        <v>934280000</v>
      </c>
      <c r="F410">
        <v>40450000</v>
      </c>
      <c r="G410">
        <v>887</v>
      </c>
      <c r="H410">
        <v>4.8399999999999999E-2</v>
      </c>
      <c r="I410" t="b">
        <v>1</v>
      </c>
      <c r="J410">
        <v>1999</v>
      </c>
      <c r="K410" t="s">
        <v>25</v>
      </c>
      <c r="L410" t="s">
        <v>12</v>
      </c>
      <c r="M410">
        <v>7.11</v>
      </c>
      <c r="N410">
        <v>45603</v>
      </c>
      <c r="O410">
        <v>26</v>
      </c>
    </row>
    <row r="411" spans="1:15" x14ac:dyDescent="0.25">
      <c r="A411" t="s">
        <v>492</v>
      </c>
      <c r="B411" t="s">
        <v>36</v>
      </c>
      <c r="C411">
        <v>1</v>
      </c>
      <c r="D411">
        <v>29670000</v>
      </c>
      <c r="E411">
        <v>236200000</v>
      </c>
      <c r="F411">
        <v>7850000</v>
      </c>
      <c r="G411">
        <v>801</v>
      </c>
      <c r="H411">
        <v>1.9E-2</v>
      </c>
      <c r="I411" t="b">
        <v>1</v>
      </c>
      <c r="J411">
        <v>1999</v>
      </c>
      <c r="K411" t="s">
        <v>29</v>
      </c>
      <c r="L411" t="s">
        <v>12</v>
      </c>
      <c r="M411">
        <v>7.96</v>
      </c>
      <c r="N411">
        <v>9800</v>
      </c>
      <c r="O411">
        <v>26</v>
      </c>
    </row>
    <row r="412" spans="1:15" x14ac:dyDescent="0.25">
      <c r="A412" t="s">
        <v>493</v>
      </c>
      <c r="B412" t="s">
        <v>36</v>
      </c>
      <c r="C412">
        <v>1</v>
      </c>
      <c r="D412">
        <v>121800000</v>
      </c>
      <c r="E412">
        <v>1473560000</v>
      </c>
      <c r="F412">
        <v>54300000</v>
      </c>
      <c r="G412">
        <v>3647</v>
      </c>
      <c r="H412">
        <v>7.46E-2</v>
      </c>
      <c r="I412" t="b">
        <v>1</v>
      </c>
      <c r="J412">
        <v>1996</v>
      </c>
      <c r="K412" t="s">
        <v>11</v>
      </c>
      <c r="L412" t="s">
        <v>12</v>
      </c>
      <c r="M412">
        <v>12.1</v>
      </c>
      <c r="N412">
        <v>14889</v>
      </c>
      <c r="O412">
        <v>29</v>
      </c>
    </row>
    <row r="413" spans="1:15" x14ac:dyDescent="0.25">
      <c r="A413" t="s">
        <v>70</v>
      </c>
      <c r="B413" t="s">
        <v>14</v>
      </c>
      <c r="C413">
        <v>5</v>
      </c>
      <c r="D413">
        <v>251510000</v>
      </c>
      <c r="E413">
        <v>3074010000</v>
      </c>
      <c r="F413">
        <v>76680000</v>
      </c>
      <c r="G413">
        <v>3185</v>
      </c>
      <c r="H413">
        <v>8.4699999999999998E-2</v>
      </c>
      <c r="I413" t="b">
        <v>1</v>
      </c>
      <c r="J413">
        <v>1993</v>
      </c>
      <c r="K413" t="s">
        <v>11</v>
      </c>
      <c r="L413" t="s">
        <v>23</v>
      </c>
      <c r="M413">
        <v>12.22</v>
      </c>
      <c r="N413">
        <v>24075</v>
      </c>
      <c r="O413">
        <v>32</v>
      </c>
    </row>
    <row r="414" spans="1:15" x14ac:dyDescent="0.25">
      <c r="A414" t="s">
        <v>494</v>
      </c>
      <c r="B414" t="s">
        <v>27</v>
      </c>
      <c r="C414">
        <v>3</v>
      </c>
      <c r="D414">
        <v>178080000</v>
      </c>
      <c r="E414">
        <v>2122910000</v>
      </c>
      <c r="F414">
        <v>86190000</v>
      </c>
      <c r="G414">
        <v>3430</v>
      </c>
      <c r="H414">
        <v>8.4900000000000003E-2</v>
      </c>
      <c r="I414" t="b">
        <v>1</v>
      </c>
      <c r="J414">
        <v>2016</v>
      </c>
      <c r="K414" t="s">
        <v>15</v>
      </c>
      <c r="L414" t="s">
        <v>12</v>
      </c>
      <c r="M414">
        <v>11.92</v>
      </c>
      <c r="N414">
        <v>25128</v>
      </c>
      <c r="O414">
        <v>9</v>
      </c>
    </row>
    <row r="415" spans="1:15" x14ac:dyDescent="0.25">
      <c r="A415" t="s">
        <v>495</v>
      </c>
      <c r="B415" t="s">
        <v>18</v>
      </c>
      <c r="C415">
        <v>3</v>
      </c>
      <c r="D415">
        <v>174030000</v>
      </c>
      <c r="E415">
        <v>1800040000</v>
      </c>
      <c r="F415">
        <v>59070000</v>
      </c>
      <c r="G415">
        <v>1301</v>
      </c>
      <c r="H415">
        <v>5.5E-2</v>
      </c>
      <c r="I415" t="b">
        <v>1</v>
      </c>
      <c r="J415">
        <v>2022</v>
      </c>
      <c r="K415" t="s">
        <v>29</v>
      </c>
      <c r="L415" t="s">
        <v>12</v>
      </c>
      <c r="M415">
        <v>10.34</v>
      </c>
      <c r="N415">
        <v>45404</v>
      </c>
      <c r="O415">
        <v>3</v>
      </c>
    </row>
    <row r="416" spans="1:15" x14ac:dyDescent="0.25">
      <c r="A416" t="s">
        <v>496</v>
      </c>
      <c r="B416" t="s">
        <v>10</v>
      </c>
      <c r="C416">
        <v>5</v>
      </c>
      <c r="D416">
        <v>198960000</v>
      </c>
      <c r="E416">
        <v>849790000</v>
      </c>
      <c r="F416">
        <v>22710000</v>
      </c>
      <c r="G416">
        <v>4719</v>
      </c>
      <c r="H416">
        <v>9.8199999999999996E-2</v>
      </c>
      <c r="I416" t="b">
        <v>0</v>
      </c>
      <c r="J416">
        <v>1990</v>
      </c>
      <c r="K416" t="s">
        <v>25</v>
      </c>
      <c r="L416" t="s">
        <v>12</v>
      </c>
      <c r="M416">
        <v>4.2699999999999996</v>
      </c>
      <c r="N416">
        <v>4812</v>
      </c>
      <c r="O416">
        <v>35</v>
      </c>
    </row>
    <row r="417" spans="1:15" x14ac:dyDescent="0.25">
      <c r="A417" t="s">
        <v>497</v>
      </c>
      <c r="B417" t="s">
        <v>22</v>
      </c>
      <c r="C417">
        <v>1</v>
      </c>
      <c r="D417">
        <v>29030000</v>
      </c>
      <c r="E417">
        <v>139890000</v>
      </c>
      <c r="F417">
        <v>38490000</v>
      </c>
      <c r="G417">
        <v>249</v>
      </c>
      <c r="H417">
        <v>4.5600000000000002E-2</v>
      </c>
      <c r="I417" t="b">
        <v>1</v>
      </c>
      <c r="J417">
        <v>1993</v>
      </c>
      <c r="K417" t="s">
        <v>11</v>
      </c>
      <c r="L417" t="s">
        <v>23</v>
      </c>
      <c r="M417">
        <v>4.82</v>
      </c>
      <c r="N417">
        <v>154578</v>
      </c>
      <c r="O417">
        <v>32</v>
      </c>
    </row>
    <row r="418" spans="1:15" x14ac:dyDescent="0.25">
      <c r="A418" t="s">
        <v>498</v>
      </c>
      <c r="B418" t="s">
        <v>27</v>
      </c>
      <c r="C418">
        <v>5</v>
      </c>
      <c r="D418">
        <v>195810000</v>
      </c>
      <c r="E418">
        <v>807730000</v>
      </c>
      <c r="F418">
        <v>45070000</v>
      </c>
      <c r="G418">
        <v>2900</v>
      </c>
      <c r="H418">
        <v>5.1799999999999999E-2</v>
      </c>
      <c r="I418" t="b">
        <v>1</v>
      </c>
      <c r="J418">
        <v>2006</v>
      </c>
      <c r="K418" t="s">
        <v>11</v>
      </c>
      <c r="L418" t="s">
        <v>12</v>
      </c>
      <c r="M418">
        <v>4.13</v>
      </c>
      <c r="N418">
        <v>15541</v>
      </c>
      <c r="O418">
        <v>19</v>
      </c>
    </row>
    <row r="419" spans="1:15" x14ac:dyDescent="0.25">
      <c r="A419" t="s">
        <v>499</v>
      </c>
      <c r="B419" t="s">
        <v>72</v>
      </c>
      <c r="C419">
        <v>3</v>
      </c>
      <c r="D419">
        <v>93990000</v>
      </c>
      <c r="E419">
        <v>932950000</v>
      </c>
      <c r="F419">
        <v>57970000</v>
      </c>
      <c r="G419">
        <v>934</v>
      </c>
      <c r="H419">
        <v>9.8900000000000002E-2</v>
      </c>
      <c r="I419" t="b">
        <v>1</v>
      </c>
      <c r="J419">
        <v>1993</v>
      </c>
      <c r="K419" t="s">
        <v>25</v>
      </c>
      <c r="L419" t="s">
        <v>12</v>
      </c>
      <c r="M419">
        <v>9.93</v>
      </c>
      <c r="N419">
        <v>62066</v>
      </c>
      <c r="O419">
        <v>32</v>
      </c>
    </row>
    <row r="420" spans="1:15" x14ac:dyDescent="0.25">
      <c r="A420" t="s">
        <v>500</v>
      </c>
      <c r="B420" t="s">
        <v>31</v>
      </c>
      <c r="C420">
        <v>3</v>
      </c>
      <c r="D420">
        <v>120010000</v>
      </c>
      <c r="E420">
        <v>1623210000</v>
      </c>
      <c r="F420">
        <v>75960000</v>
      </c>
      <c r="G420">
        <v>524</v>
      </c>
      <c r="H420">
        <v>2.3900000000000001E-2</v>
      </c>
      <c r="I420" t="b">
        <v>0</v>
      </c>
      <c r="J420">
        <v>2015</v>
      </c>
      <c r="K420" t="s">
        <v>25</v>
      </c>
      <c r="L420" t="s">
        <v>12</v>
      </c>
      <c r="M420">
        <v>13.53</v>
      </c>
      <c r="N420">
        <v>144962</v>
      </c>
      <c r="O420">
        <v>10</v>
      </c>
    </row>
    <row r="421" spans="1:15" x14ac:dyDescent="0.25">
      <c r="A421" t="s">
        <v>501</v>
      </c>
      <c r="B421" t="s">
        <v>18</v>
      </c>
      <c r="C421">
        <v>1</v>
      </c>
      <c r="D421">
        <v>257470000</v>
      </c>
      <c r="E421">
        <v>2112700000</v>
      </c>
      <c r="F421">
        <v>9980000</v>
      </c>
      <c r="G421">
        <v>3217</v>
      </c>
      <c r="H421">
        <v>9.4299999999999995E-2</v>
      </c>
      <c r="I421" t="b">
        <v>0</v>
      </c>
      <c r="J421">
        <v>1993</v>
      </c>
      <c r="K421" t="s">
        <v>29</v>
      </c>
      <c r="L421" t="s">
        <v>12</v>
      </c>
      <c r="M421">
        <v>8.2100000000000009</v>
      </c>
      <c r="N421">
        <v>3102</v>
      </c>
      <c r="O421">
        <v>32</v>
      </c>
    </row>
    <row r="422" spans="1:15" x14ac:dyDescent="0.25">
      <c r="A422" t="s">
        <v>502</v>
      </c>
      <c r="B422" t="s">
        <v>18</v>
      </c>
      <c r="C422">
        <v>4</v>
      </c>
      <c r="D422">
        <v>3200000</v>
      </c>
      <c r="E422">
        <v>15780000</v>
      </c>
      <c r="F422">
        <v>88980000</v>
      </c>
      <c r="G422">
        <v>2414</v>
      </c>
      <c r="H422">
        <v>5.1999999999999998E-3</v>
      </c>
      <c r="I422" t="b">
        <v>0</v>
      </c>
      <c r="J422">
        <v>1990</v>
      </c>
      <c r="K422" t="s">
        <v>38</v>
      </c>
      <c r="L422" t="s">
        <v>23</v>
      </c>
      <c r="M422">
        <v>4.93</v>
      </c>
      <c r="N422">
        <v>36860</v>
      </c>
      <c r="O422">
        <v>35</v>
      </c>
    </row>
    <row r="423" spans="1:15" x14ac:dyDescent="0.25">
      <c r="A423" t="s">
        <v>503</v>
      </c>
      <c r="B423" t="s">
        <v>18</v>
      </c>
      <c r="C423">
        <v>2</v>
      </c>
      <c r="D423">
        <v>176730000</v>
      </c>
      <c r="E423">
        <v>1713660000</v>
      </c>
      <c r="F423">
        <v>1330000</v>
      </c>
      <c r="G423">
        <v>12</v>
      </c>
      <c r="H423">
        <v>4.5199999999999997E-2</v>
      </c>
      <c r="I423" t="b">
        <v>1</v>
      </c>
      <c r="J423">
        <v>1996</v>
      </c>
      <c r="K423" t="s">
        <v>11</v>
      </c>
      <c r="L423" t="s">
        <v>12</v>
      </c>
      <c r="M423">
        <v>9.6999999999999993</v>
      </c>
      <c r="N423">
        <v>110833</v>
      </c>
      <c r="O423">
        <v>29</v>
      </c>
    </row>
    <row r="424" spans="1:15" x14ac:dyDescent="0.25">
      <c r="A424" t="s">
        <v>71</v>
      </c>
      <c r="B424" t="s">
        <v>72</v>
      </c>
      <c r="C424">
        <v>5</v>
      </c>
      <c r="D424">
        <v>121610000</v>
      </c>
      <c r="E424">
        <v>529890000</v>
      </c>
      <c r="F424">
        <v>73390000</v>
      </c>
      <c r="G424">
        <v>4862</v>
      </c>
      <c r="H424">
        <v>4.07E-2</v>
      </c>
      <c r="I424" t="b">
        <v>0</v>
      </c>
      <c r="J424">
        <v>2015</v>
      </c>
      <c r="K424" t="s">
        <v>38</v>
      </c>
      <c r="L424" t="s">
        <v>12</v>
      </c>
      <c r="M424">
        <v>4.3600000000000003</v>
      </c>
      <c r="N424">
        <v>15095</v>
      </c>
      <c r="O424">
        <v>10</v>
      </c>
    </row>
    <row r="425" spans="1:15" x14ac:dyDescent="0.25">
      <c r="A425" t="s">
        <v>504</v>
      </c>
      <c r="B425" t="s">
        <v>36</v>
      </c>
      <c r="C425">
        <v>3</v>
      </c>
      <c r="D425">
        <v>179810000</v>
      </c>
      <c r="E425">
        <v>2290960000</v>
      </c>
      <c r="F425">
        <v>37070000</v>
      </c>
      <c r="G425">
        <v>2530</v>
      </c>
      <c r="H425">
        <v>7.9000000000000008E-3</v>
      </c>
      <c r="I425" t="b">
        <v>0</v>
      </c>
      <c r="J425">
        <v>2019</v>
      </c>
      <c r="K425" t="s">
        <v>29</v>
      </c>
      <c r="L425" t="s">
        <v>12</v>
      </c>
      <c r="M425">
        <v>12.74</v>
      </c>
      <c r="N425">
        <v>14652</v>
      </c>
      <c r="O425">
        <v>6</v>
      </c>
    </row>
    <row r="426" spans="1:15" x14ac:dyDescent="0.25">
      <c r="A426" t="s">
        <v>505</v>
      </c>
      <c r="B426" t="s">
        <v>72</v>
      </c>
      <c r="C426">
        <v>3</v>
      </c>
      <c r="D426">
        <v>119300000</v>
      </c>
      <c r="E426">
        <v>1419730000</v>
      </c>
      <c r="F426">
        <v>2840000</v>
      </c>
      <c r="G426">
        <v>3428</v>
      </c>
      <c r="H426">
        <v>7.3200000000000001E-2</v>
      </c>
      <c r="I426" t="b">
        <v>1</v>
      </c>
      <c r="J426">
        <v>1998</v>
      </c>
      <c r="K426" t="s">
        <v>25</v>
      </c>
      <c r="L426" t="s">
        <v>20</v>
      </c>
      <c r="M426">
        <v>11.9</v>
      </c>
      <c r="N426">
        <v>828</v>
      </c>
      <c r="O426">
        <v>27</v>
      </c>
    </row>
    <row r="427" spans="1:15" x14ac:dyDescent="0.25">
      <c r="A427" t="s">
        <v>506</v>
      </c>
      <c r="B427" t="s">
        <v>18</v>
      </c>
      <c r="C427">
        <v>4</v>
      </c>
      <c r="D427">
        <v>71490000</v>
      </c>
      <c r="E427">
        <v>970650000</v>
      </c>
      <c r="F427">
        <v>39360000</v>
      </c>
      <c r="G427">
        <v>2024</v>
      </c>
      <c r="H427">
        <v>6.1199999999999997E-2</v>
      </c>
      <c r="I427" t="b">
        <v>0</v>
      </c>
      <c r="J427">
        <v>1997</v>
      </c>
      <c r="K427" t="s">
        <v>29</v>
      </c>
      <c r="L427" t="s">
        <v>12</v>
      </c>
      <c r="M427">
        <v>13.58</v>
      </c>
      <c r="N427">
        <v>19447</v>
      </c>
      <c r="O427">
        <v>28</v>
      </c>
    </row>
    <row r="428" spans="1:15" x14ac:dyDescent="0.25">
      <c r="A428" t="s">
        <v>507</v>
      </c>
      <c r="B428" t="s">
        <v>72</v>
      </c>
      <c r="C428">
        <v>4</v>
      </c>
      <c r="D428">
        <v>70780000</v>
      </c>
      <c r="E428">
        <v>448380000</v>
      </c>
      <c r="F428">
        <v>52630000</v>
      </c>
      <c r="G428">
        <v>4595</v>
      </c>
      <c r="H428">
        <v>7.0999999999999994E-2</v>
      </c>
      <c r="I428" t="b">
        <v>0</v>
      </c>
      <c r="J428">
        <v>2013</v>
      </c>
      <c r="K428" t="s">
        <v>25</v>
      </c>
      <c r="L428" t="s">
        <v>23</v>
      </c>
      <c r="M428">
        <v>6.33</v>
      </c>
      <c r="N428">
        <v>11454</v>
      </c>
      <c r="O428">
        <v>12</v>
      </c>
    </row>
    <row r="429" spans="1:15" x14ac:dyDescent="0.25">
      <c r="A429" t="s">
        <v>508</v>
      </c>
      <c r="B429" t="s">
        <v>14</v>
      </c>
      <c r="C429">
        <v>5</v>
      </c>
      <c r="D429">
        <v>265170000</v>
      </c>
      <c r="E429">
        <v>1412680000</v>
      </c>
      <c r="F429">
        <v>51220000</v>
      </c>
      <c r="G429">
        <v>4287</v>
      </c>
      <c r="H429">
        <v>3.8100000000000002E-2</v>
      </c>
      <c r="I429" t="b">
        <v>0</v>
      </c>
      <c r="J429">
        <v>2008</v>
      </c>
      <c r="K429" t="s">
        <v>15</v>
      </c>
      <c r="L429" t="s">
        <v>12</v>
      </c>
      <c r="M429">
        <v>5.33</v>
      </c>
      <c r="N429">
        <v>11948</v>
      </c>
      <c r="O429">
        <v>17</v>
      </c>
    </row>
    <row r="430" spans="1:15" x14ac:dyDescent="0.25">
      <c r="A430" t="s">
        <v>509</v>
      </c>
      <c r="B430" t="s">
        <v>18</v>
      </c>
      <c r="C430">
        <v>5</v>
      </c>
      <c r="D430">
        <v>132890000</v>
      </c>
      <c r="E430">
        <v>1801700000</v>
      </c>
      <c r="F430">
        <v>16650000</v>
      </c>
      <c r="G430">
        <v>3672</v>
      </c>
      <c r="H430">
        <v>3.7600000000000001E-2</v>
      </c>
      <c r="I430" t="b">
        <v>0</v>
      </c>
      <c r="J430">
        <v>2016</v>
      </c>
      <c r="K430" t="s">
        <v>25</v>
      </c>
      <c r="L430" t="s">
        <v>12</v>
      </c>
      <c r="M430">
        <v>13.56</v>
      </c>
      <c r="N430">
        <v>4534</v>
      </c>
      <c r="O430">
        <v>9</v>
      </c>
    </row>
    <row r="431" spans="1:15" x14ac:dyDescent="0.25">
      <c r="A431" t="s">
        <v>510</v>
      </c>
      <c r="B431" t="s">
        <v>31</v>
      </c>
      <c r="C431">
        <v>2</v>
      </c>
      <c r="D431">
        <v>99600000</v>
      </c>
      <c r="E431">
        <v>1084720000</v>
      </c>
      <c r="F431">
        <v>64610000</v>
      </c>
      <c r="G431">
        <v>3676</v>
      </c>
      <c r="H431">
        <v>5.4999999999999997E-3</v>
      </c>
      <c r="I431" t="b">
        <v>0</v>
      </c>
      <c r="J431">
        <v>2021</v>
      </c>
      <c r="K431" t="s">
        <v>25</v>
      </c>
      <c r="L431" t="s">
        <v>12</v>
      </c>
      <c r="M431">
        <v>10.89</v>
      </c>
      <c r="N431">
        <v>17576</v>
      </c>
      <c r="O431">
        <v>4</v>
      </c>
    </row>
    <row r="432" spans="1:15" x14ac:dyDescent="0.25">
      <c r="A432" t="s">
        <v>511</v>
      </c>
      <c r="B432" t="s">
        <v>72</v>
      </c>
      <c r="C432">
        <v>2</v>
      </c>
      <c r="D432">
        <v>134910000</v>
      </c>
      <c r="E432">
        <v>908100000</v>
      </c>
      <c r="F432">
        <v>4570000</v>
      </c>
      <c r="G432">
        <v>2806</v>
      </c>
      <c r="H432">
        <v>3.56E-2</v>
      </c>
      <c r="I432" t="b">
        <v>0</v>
      </c>
      <c r="J432">
        <v>2003</v>
      </c>
      <c r="K432" t="s">
        <v>25</v>
      </c>
      <c r="L432" t="s">
        <v>12</v>
      </c>
      <c r="M432">
        <v>6.73</v>
      </c>
      <c r="N432">
        <v>1629</v>
      </c>
      <c r="O432">
        <v>22</v>
      </c>
    </row>
    <row r="433" spans="1:15" x14ac:dyDescent="0.25">
      <c r="A433" t="s">
        <v>512</v>
      </c>
      <c r="B433" t="s">
        <v>72</v>
      </c>
      <c r="C433">
        <v>1</v>
      </c>
      <c r="D433">
        <v>200980000</v>
      </c>
      <c r="E433">
        <v>2393310000</v>
      </c>
      <c r="F433">
        <v>76210000</v>
      </c>
      <c r="G433">
        <v>90</v>
      </c>
      <c r="H433">
        <v>9.2999999999999999E-2</v>
      </c>
      <c r="I433" t="b">
        <v>1</v>
      </c>
      <c r="J433">
        <v>2007</v>
      </c>
      <c r="K433" t="s">
        <v>38</v>
      </c>
      <c r="L433" t="s">
        <v>12</v>
      </c>
      <c r="M433">
        <v>11.91</v>
      </c>
      <c r="N433">
        <v>846778</v>
      </c>
      <c r="O433">
        <v>18</v>
      </c>
    </row>
    <row r="434" spans="1:15" x14ac:dyDescent="0.25">
      <c r="A434" t="s">
        <v>513</v>
      </c>
      <c r="B434" t="s">
        <v>31</v>
      </c>
      <c r="C434">
        <v>5</v>
      </c>
      <c r="D434">
        <v>44150000</v>
      </c>
      <c r="E434">
        <v>564300000</v>
      </c>
      <c r="F434">
        <v>94670000</v>
      </c>
      <c r="G434">
        <v>3120</v>
      </c>
      <c r="H434">
        <v>3.85E-2</v>
      </c>
      <c r="I434" t="b">
        <v>0</v>
      </c>
      <c r="J434">
        <v>2017</v>
      </c>
      <c r="K434" t="s">
        <v>25</v>
      </c>
      <c r="L434" t="s">
        <v>12</v>
      </c>
      <c r="M434">
        <v>12.78</v>
      </c>
      <c r="N434">
        <v>30343</v>
      </c>
      <c r="O434">
        <v>8</v>
      </c>
    </row>
    <row r="435" spans="1:15" x14ac:dyDescent="0.25">
      <c r="A435" t="s">
        <v>73</v>
      </c>
      <c r="B435" t="s">
        <v>31</v>
      </c>
      <c r="C435">
        <v>2</v>
      </c>
      <c r="D435">
        <v>231390000</v>
      </c>
      <c r="E435">
        <v>2903050000</v>
      </c>
      <c r="F435">
        <v>30010000</v>
      </c>
      <c r="G435">
        <v>345</v>
      </c>
      <c r="H435">
        <v>7.6499999999999999E-2</v>
      </c>
      <c r="I435" t="b">
        <v>1</v>
      </c>
      <c r="J435">
        <v>2017</v>
      </c>
      <c r="K435" t="s">
        <v>15</v>
      </c>
      <c r="L435" t="s">
        <v>12</v>
      </c>
      <c r="M435">
        <v>12.55</v>
      </c>
      <c r="N435">
        <v>86986</v>
      </c>
      <c r="O435">
        <v>8</v>
      </c>
    </row>
    <row r="436" spans="1:15" x14ac:dyDescent="0.25">
      <c r="A436" t="s">
        <v>514</v>
      </c>
      <c r="B436" t="s">
        <v>18</v>
      </c>
      <c r="C436">
        <v>3</v>
      </c>
      <c r="D436">
        <v>135110000</v>
      </c>
      <c r="E436">
        <v>1402410000</v>
      </c>
      <c r="F436">
        <v>34040000</v>
      </c>
      <c r="G436">
        <v>4237</v>
      </c>
      <c r="H436">
        <v>8.3299999999999999E-2</v>
      </c>
      <c r="I436" t="b">
        <v>0</v>
      </c>
      <c r="J436">
        <v>2018</v>
      </c>
      <c r="K436" t="s">
        <v>11</v>
      </c>
      <c r="L436" t="s">
        <v>12</v>
      </c>
      <c r="M436">
        <v>10.38</v>
      </c>
      <c r="N436">
        <v>8034</v>
      </c>
      <c r="O436">
        <v>7</v>
      </c>
    </row>
    <row r="437" spans="1:15" x14ac:dyDescent="0.25">
      <c r="A437" t="s">
        <v>515</v>
      </c>
      <c r="B437" t="s">
        <v>31</v>
      </c>
      <c r="C437">
        <v>5</v>
      </c>
      <c r="D437">
        <v>176570000</v>
      </c>
      <c r="E437">
        <v>1987230000</v>
      </c>
      <c r="F437">
        <v>51770000</v>
      </c>
      <c r="G437">
        <v>2473</v>
      </c>
      <c r="H437">
        <v>8.4400000000000003E-2</v>
      </c>
      <c r="I437" t="b">
        <v>1</v>
      </c>
      <c r="J437">
        <v>2005</v>
      </c>
      <c r="K437" t="s">
        <v>11</v>
      </c>
      <c r="L437" t="s">
        <v>12</v>
      </c>
      <c r="M437">
        <v>11.25</v>
      </c>
      <c r="N437">
        <v>20934</v>
      </c>
      <c r="O437">
        <v>20</v>
      </c>
    </row>
    <row r="438" spans="1:15" x14ac:dyDescent="0.25">
      <c r="A438" t="s">
        <v>516</v>
      </c>
      <c r="B438" t="s">
        <v>72</v>
      </c>
      <c r="C438">
        <v>3</v>
      </c>
      <c r="D438">
        <v>284600000</v>
      </c>
      <c r="E438">
        <v>2135390000</v>
      </c>
      <c r="F438">
        <v>37950000</v>
      </c>
      <c r="G438">
        <v>3624</v>
      </c>
      <c r="H438">
        <v>3.7999999999999999E-2</v>
      </c>
      <c r="I438" t="b">
        <v>1</v>
      </c>
      <c r="J438">
        <v>2020</v>
      </c>
      <c r="K438" t="s">
        <v>29</v>
      </c>
      <c r="L438" t="s">
        <v>12</v>
      </c>
      <c r="M438">
        <v>7.5</v>
      </c>
      <c r="N438">
        <v>10472</v>
      </c>
      <c r="O438">
        <v>5</v>
      </c>
    </row>
    <row r="439" spans="1:15" x14ac:dyDescent="0.25">
      <c r="A439" t="s">
        <v>517</v>
      </c>
      <c r="B439" t="s">
        <v>31</v>
      </c>
      <c r="C439">
        <v>4</v>
      </c>
      <c r="D439">
        <v>76130000</v>
      </c>
      <c r="E439">
        <v>720520000</v>
      </c>
      <c r="F439">
        <v>770000</v>
      </c>
      <c r="G439">
        <v>1641</v>
      </c>
      <c r="H439">
        <v>6.3600000000000004E-2</v>
      </c>
      <c r="I439" t="b">
        <v>1</v>
      </c>
      <c r="J439">
        <v>1993</v>
      </c>
      <c r="K439" t="s">
        <v>38</v>
      </c>
      <c r="L439" t="s">
        <v>20</v>
      </c>
      <c r="M439">
        <v>9.4600000000000009</v>
      </c>
      <c r="N439">
        <v>469</v>
      </c>
      <c r="O439">
        <v>32</v>
      </c>
    </row>
    <row r="440" spans="1:15" x14ac:dyDescent="0.25">
      <c r="A440" t="s">
        <v>518</v>
      </c>
      <c r="B440" t="s">
        <v>72</v>
      </c>
      <c r="C440">
        <v>5</v>
      </c>
      <c r="D440">
        <v>108100000</v>
      </c>
      <c r="E440">
        <v>1004240000</v>
      </c>
      <c r="F440">
        <v>38650000</v>
      </c>
      <c r="G440">
        <v>3588</v>
      </c>
      <c r="H440">
        <v>1.04E-2</v>
      </c>
      <c r="I440" t="b">
        <v>0</v>
      </c>
      <c r="J440">
        <v>2006</v>
      </c>
      <c r="K440" t="s">
        <v>29</v>
      </c>
      <c r="L440" t="s">
        <v>12</v>
      </c>
      <c r="M440">
        <v>9.2899999999999991</v>
      </c>
      <c r="N440">
        <v>10772</v>
      </c>
      <c r="O440">
        <v>19</v>
      </c>
    </row>
    <row r="441" spans="1:15" x14ac:dyDescent="0.25">
      <c r="A441" t="s">
        <v>519</v>
      </c>
      <c r="B441" t="s">
        <v>72</v>
      </c>
      <c r="C441">
        <v>4</v>
      </c>
      <c r="D441">
        <v>114120000</v>
      </c>
      <c r="E441">
        <v>1503710000</v>
      </c>
      <c r="F441">
        <v>79190000</v>
      </c>
      <c r="G441">
        <v>4014</v>
      </c>
      <c r="H441">
        <v>1.1299999999999999E-2</v>
      </c>
      <c r="I441" t="b">
        <v>1</v>
      </c>
      <c r="J441">
        <v>2015</v>
      </c>
      <c r="K441" t="s">
        <v>11</v>
      </c>
      <c r="L441" t="s">
        <v>23</v>
      </c>
      <c r="M441">
        <v>13.18</v>
      </c>
      <c r="N441">
        <v>19728</v>
      </c>
      <c r="O441">
        <v>10</v>
      </c>
    </row>
    <row r="442" spans="1:15" x14ac:dyDescent="0.25">
      <c r="A442" t="s">
        <v>520</v>
      </c>
      <c r="B442" t="s">
        <v>14</v>
      </c>
      <c r="C442">
        <v>2</v>
      </c>
      <c r="D442">
        <v>181860000</v>
      </c>
      <c r="E442">
        <v>2378650000</v>
      </c>
      <c r="F442">
        <v>59640000</v>
      </c>
      <c r="G442">
        <v>3331</v>
      </c>
      <c r="H442">
        <v>5.7999999999999996E-3</v>
      </c>
      <c r="I442" t="b">
        <v>1</v>
      </c>
      <c r="J442">
        <v>1993</v>
      </c>
      <c r="K442" t="s">
        <v>11</v>
      </c>
      <c r="L442" t="s">
        <v>12</v>
      </c>
      <c r="M442">
        <v>13.08</v>
      </c>
      <c r="N442">
        <v>17905</v>
      </c>
      <c r="O442">
        <v>32</v>
      </c>
    </row>
    <row r="443" spans="1:15" x14ac:dyDescent="0.25">
      <c r="A443" t="s">
        <v>521</v>
      </c>
      <c r="B443" t="s">
        <v>22</v>
      </c>
      <c r="C443">
        <v>2</v>
      </c>
      <c r="D443">
        <v>107340000</v>
      </c>
      <c r="E443">
        <v>1394580000</v>
      </c>
      <c r="F443">
        <v>10220000</v>
      </c>
      <c r="G443">
        <v>2223</v>
      </c>
      <c r="H443">
        <v>5.8500000000000003E-2</v>
      </c>
      <c r="I443" t="b">
        <v>0</v>
      </c>
      <c r="J443">
        <v>2019</v>
      </c>
      <c r="K443" t="s">
        <v>15</v>
      </c>
      <c r="L443" t="s">
        <v>12</v>
      </c>
      <c r="M443">
        <v>12.99</v>
      </c>
      <c r="N443">
        <v>4597</v>
      </c>
      <c r="O443">
        <v>6</v>
      </c>
    </row>
    <row r="444" spans="1:15" x14ac:dyDescent="0.25">
      <c r="A444" t="s">
        <v>522</v>
      </c>
      <c r="B444" t="s">
        <v>72</v>
      </c>
      <c r="C444">
        <v>1</v>
      </c>
      <c r="D444">
        <v>160290000</v>
      </c>
      <c r="E444">
        <v>502090000</v>
      </c>
      <c r="F444">
        <v>84730000</v>
      </c>
      <c r="G444">
        <v>2222</v>
      </c>
      <c r="H444">
        <v>4.3200000000000002E-2</v>
      </c>
      <c r="I444" t="b">
        <v>0</v>
      </c>
      <c r="J444">
        <v>2019</v>
      </c>
      <c r="K444" t="s">
        <v>25</v>
      </c>
      <c r="L444" t="s">
        <v>12</v>
      </c>
      <c r="M444">
        <v>3.13</v>
      </c>
      <c r="N444">
        <v>38132</v>
      </c>
      <c r="O444">
        <v>6</v>
      </c>
    </row>
    <row r="445" spans="1:15" x14ac:dyDescent="0.25">
      <c r="A445" t="s">
        <v>523</v>
      </c>
      <c r="B445" t="s">
        <v>18</v>
      </c>
      <c r="C445">
        <v>5</v>
      </c>
      <c r="D445">
        <v>234650000</v>
      </c>
      <c r="E445">
        <v>2814520000</v>
      </c>
      <c r="F445">
        <v>53160000</v>
      </c>
      <c r="G445">
        <v>4972</v>
      </c>
      <c r="H445">
        <v>5.5300000000000002E-2</v>
      </c>
      <c r="I445" t="b">
        <v>0</v>
      </c>
      <c r="J445">
        <v>2011</v>
      </c>
      <c r="K445" t="s">
        <v>11</v>
      </c>
      <c r="L445" t="s">
        <v>12</v>
      </c>
      <c r="M445">
        <v>11.99</v>
      </c>
      <c r="N445">
        <v>10692</v>
      </c>
      <c r="O445">
        <v>14</v>
      </c>
    </row>
    <row r="446" spans="1:15" x14ac:dyDescent="0.25">
      <c r="A446" t="s">
        <v>19</v>
      </c>
      <c r="B446" t="s">
        <v>10</v>
      </c>
      <c r="C446">
        <v>4</v>
      </c>
      <c r="D446">
        <v>249280000</v>
      </c>
      <c r="E446">
        <v>850110000</v>
      </c>
      <c r="F446">
        <v>50250000</v>
      </c>
      <c r="G446">
        <v>1905</v>
      </c>
      <c r="H446">
        <v>4.0899999999999999E-2</v>
      </c>
      <c r="I446" t="b">
        <v>0</v>
      </c>
      <c r="J446">
        <v>1997</v>
      </c>
      <c r="K446" t="s">
        <v>11</v>
      </c>
      <c r="L446" t="s">
        <v>20</v>
      </c>
      <c r="M446">
        <v>3.41</v>
      </c>
      <c r="N446">
        <v>26378</v>
      </c>
      <c r="O446">
        <v>28</v>
      </c>
    </row>
    <row r="447" spans="1:15" x14ac:dyDescent="0.25">
      <c r="A447" t="s">
        <v>74</v>
      </c>
      <c r="B447" t="s">
        <v>10</v>
      </c>
      <c r="C447">
        <v>2</v>
      </c>
      <c r="D447">
        <v>126900000</v>
      </c>
      <c r="E447">
        <v>1779660000</v>
      </c>
      <c r="F447">
        <v>17430000</v>
      </c>
      <c r="G447">
        <v>2994</v>
      </c>
      <c r="H447">
        <v>8.2500000000000004E-2</v>
      </c>
      <c r="I447" t="b">
        <v>1</v>
      </c>
      <c r="J447">
        <v>2021</v>
      </c>
      <c r="K447" t="s">
        <v>38</v>
      </c>
      <c r="L447" t="s">
        <v>12</v>
      </c>
      <c r="M447">
        <v>14.02</v>
      </c>
      <c r="N447">
        <v>5822</v>
      </c>
      <c r="O447">
        <v>4</v>
      </c>
    </row>
    <row r="448" spans="1:15" x14ac:dyDescent="0.25">
      <c r="A448" t="s">
        <v>524</v>
      </c>
      <c r="B448" t="s">
        <v>27</v>
      </c>
      <c r="C448">
        <v>4</v>
      </c>
      <c r="D448">
        <v>211760000</v>
      </c>
      <c r="E448">
        <v>2563170000</v>
      </c>
      <c r="F448">
        <v>84190000</v>
      </c>
      <c r="G448">
        <v>2374</v>
      </c>
      <c r="H448">
        <v>5.2600000000000001E-2</v>
      </c>
      <c r="I448" t="b">
        <v>0</v>
      </c>
      <c r="J448">
        <v>2000</v>
      </c>
      <c r="K448" t="s">
        <v>29</v>
      </c>
      <c r="L448" t="s">
        <v>12</v>
      </c>
      <c r="M448">
        <v>12.1</v>
      </c>
      <c r="N448">
        <v>35463</v>
      </c>
      <c r="O448">
        <v>25</v>
      </c>
    </row>
    <row r="449" spans="1:15" x14ac:dyDescent="0.25">
      <c r="A449" t="s">
        <v>75</v>
      </c>
      <c r="B449" t="s">
        <v>22</v>
      </c>
      <c r="C449">
        <v>3</v>
      </c>
      <c r="D449">
        <v>106480000</v>
      </c>
      <c r="E449">
        <v>1086870000</v>
      </c>
      <c r="F449">
        <v>63790000</v>
      </c>
      <c r="G449">
        <v>387</v>
      </c>
      <c r="H449">
        <v>8.8999999999999996E-2</v>
      </c>
      <c r="I449" t="b">
        <v>0</v>
      </c>
      <c r="J449">
        <v>1991</v>
      </c>
      <c r="K449" t="s">
        <v>11</v>
      </c>
      <c r="L449" t="s">
        <v>20</v>
      </c>
      <c r="M449">
        <v>10.210000000000001</v>
      </c>
      <c r="N449">
        <v>164832</v>
      </c>
      <c r="O449">
        <v>34</v>
      </c>
    </row>
    <row r="450" spans="1:15" x14ac:dyDescent="0.25">
      <c r="A450" t="s">
        <v>76</v>
      </c>
      <c r="B450" t="s">
        <v>72</v>
      </c>
      <c r="C450">
        <v>1</v>
      </c>
      <c r="D450">
        <v>287610000</v>
      </c>
      <c r="E450">
        <v>4110090000</v>
      </c>
      <c r="F450">
        <v>49670000</v>
      </c>
      <c r="G450">
        <v>1561</v>
      </c>
      <c r="H450">
        <v>5.4899999999999997E-2</v>
      </c>
      <c r="I450" t="b">
        <v>1</v>
      </c>
      <c r="J450">
        <v>2020</v>
      </c>
      <c r="K450" t="s">
        <v>15</v>
      </c>
      <c r="L450" t="s">
        <v>12</v>
      </c>
      <c r="M450">
        <v>14.29</v>
      </c>
      <c r="N450">
        <v>31819</v>
      </c>
      <c r="O450">
        <v>5</v>
      </c>
    </row>
    <row r="451" spans="1:15" x14ac:dyDescent="0.25">
      <c r="A451" t="s">
        <v>77</v>
      </c>
      <c r="B451" t="s">
        <v>14</v>
      </c>
      <c r="C451">
        <v>5</v>
      </c>
      <c r="D451">
        <v>55720000</v>
      </c>
      <c r="E451">
        <v>720020000</v>
      </c>
      <c r="F451">
        <v>17910000</v>
      </c>
      <c r="G451">
        <v>304</v>
      </c>
      <c r="H451">
        <v>2.12E-2</v>
      </c>
      <c r="I451" t="b">
        <v>1</v>
      </c>
      <c r="J451">
        <v>1992</v>
      </c>
      <c r="K451" t="s">
        <v>29</v>
      </c>
      <c r="L451" t="s">
        <v>12</v>
      </c>
      <c r="M451">
        <v>12.92</v>
      </c>
      <c r="N451">
        <v>58914</v>
      </c>
      <c r="O451">
        <v>33</v>
      </c>
    </row>
    <row r="452" spans="1:15" x14ac:dyDescent="0.25">
      <c r="A452" t="s">
        <v>78</v>
      </c>
      <c r="B452" t="s">
        <v>72</v>
      </c>
      <c r="C452">
        <v>1</v>
      </c>
      <c r="D452">
        <v>27560000</v>
      </c>
      <c r="E452">
        <v>303260000</v>
      </c>
      <c r="F452">
        <v>68620000</v>
      </c>
      <c r="G452">
        <v>143</v>
      </c>
      <c r="H452">
        <v>2.63E-2</v>
      </c>
      <c r="I452" t="b">
        <v>1</v>
      </c>
      <c r="J452">
        <v>1997</v>
      </c>
      <c r="K452" t="s">
        <v>11</v>
      </c>
      <c r="L452" t="s">
        <v>20</v>
      </c>
      <c r="M452">
        <v>11</v>
      </c>
      <c r="N452">
        <v>479860</v>
      </c>
      <c r="O452">
        <v>28</v>
      </c>
    </row>
    <row r="453" spans="1:15" x14ac:dyDescent="0.25">
      <c r="A453" t="s">
        <v>79</v>
      </c>
      <c r="B453" t="s">
        <v>22</v>
      </c>
      <c r="C453">
        <v>1</v>
      </c>
      <c r="D453">
        <v>231410000</v>
      </c>
      <c r="E453">
        <v>2297030000</v>
      </c>
      <c r="F453">
        <v>99110000</v>
      </c>
      <c r="G453">
        <v>363</v>
      </c>
      <c r="H453">
        <v>3.0300000000000001E-2</v>
      </c>
      <c r="I453" t="b">
        <v>1</v>
      </c>
      <c r="J453">
        <v>2013</v>
      </c>
      <c r="K453" t="s">
        <v>25</v>
      </c>
      <c r="L453" t="s">
        <v>12</v>
      </c>
      <c r="M453">
        <v>9.93</v>
      </c>
      <c r="N453">
        <v>273030</v>
      </c>
      <c r="O453">
        <v>12</v>
      </c>
    </row>
    <row r="454" spans="1:15" x14ac:dyDescent="0.25">
      <c r="A454" t="s">
        <v>80</v>
      </c>
      <c r="B454" t="s">
        <v>18</v>
      </c>
      <c r="C454">
        <v>3</v>
      </c>
      <c r="D454">
        <v>20940000</v>
      </c>
      <c r="E454">
        <v>150410000</v>
      </c>
      <c r="F454">
        <v>74750000</v>
      </c>
      <c r="G454">
        <v>4936</v>
      </c>
      <c r="H454">
        <v>5.9799999999999999E-2</v>
      </c>
      <c r="I454" t="b">
        <v>0</v>
      </c>
      <c r="J454">
        <v>2004</v>
      </c>
      <c r="K454" t="s">
        <v>11</v>
      </c>
      <c r="L454" t="s">
        <v>23</v>
      </c>
      <c r="M454">
        <v>7.18</v>
      </c>
      <c r="N454">
        <v>15144</v>
      </c>
      <c r="O454">
        <v>21</v>
      </c>
    </row>
    <row r="455" spans="1:15" x14ac:dyDescent="0.25">
      <c r="A455" t="s">
        <v>81</v>
      </c>
      <c r="B455" t="s">
        <v>18</v>
      </c>
      <c r="C455">
        <v>5</v>
      </c>
      <c r="D455">
        <v>251210000</v>
      </c>
      <c r="E455">
        <v>1233810000</v>
      </c>
      <c r="F455">
        <v>74020000</v>
      </c>
      <c r="G455">
        <v>1527</v>
      </c>
      <c r="H455">
        <v>4.1999999999999997E-3</v>
      </c>
      <c r="I455" t="b">
        <v>0</v>
      </c>
      <c r="J455">
        <v>2020</v>
      </c>
      <c r="K455" t="s">
        <v>15</v>
      </c>
      <c r="L455" t="s">
        <v>12</v>
      </c>
      <c r="M455">
        <v>4.91</v>
      </c>
      <c r="N455">
        <v>48474</v>
      </c>
      <c r="O455">
        <v>5</v>
      </c>
    </row>
    <row r="456" spans="1:15" x14ac:dyDescent="0.25">
      <c r="A456" t="s">
        <v>82</v>
      </c>
      <c r="B456" t="s">
        <v>36</v>
      </c>
      <c r="C456">
        <v>5</v>
      </c>
      <c r="D456">
        <v>131440000</v>
      </c>
      <c r="E456">
        <v>1348500000</v>
      </c>
      <c r="F456">
        <v>95040000</v>
      </c>
      <c r="G456">
        <v>3461</v>
      </c>
      <c r="H456">
        <v>6.4000000000000001E-2</v>
      </c>
      <c r="I456" t="b">
        <v>0</v>
      </c>
      <c r="J456">
        <v>1998</v>
      </c>
      <c r="K456" t="s">
        <v>11</v>
      </c>
      <c r="L456" t="s">
        <v>12</v>
      </c>
      <c r="M456">
        <v>10.26</v>
      </c>
      <c r="N456">
        <v>27460</v>
      </c>
      <c r="O456">
        <v>27</v>
      </c>
    </row>
    <row r="457" spans="1:15" x14ac:dyDescent="0.25">
      <c r="A457" t="s">
        <v>83</v>
      </c>
      <c r="B457" t="s">
        <v>18</v>
      </c>
      <c r="C457">
        <v>4</v>
      </c>
      <c r="D457">
        <v>274700000</v>
      </c>
      <c r="E457">
        <v>1872720000</v>
      </c>
      <c r="F457">
        <v>20370000</v>
      </c>
      <c r="G457">
        <v>1632</v>
      </c>
      <c r="H457">
        <v>3.7100000000000001E-2</v>
      </c>
      <c r="I457" t="b">
        <v>0</v>
      </c>
      <c r="J457">
        <v>1991</v>
      </c>
      <c r="K457" t="s">
        <v>29</v>
      </c>
      <c r="L457" t="s">
        <v>12</v>
      </c>
      <c r="M457">
        <v>6.82</v>
      </c>
      <c r="N457">
        <v>12482</v>
      </c>
      <c r="O457">
        <v>34</v>
      </c>
    </row>
    <row r="458" spans="1:15" x14ac:dyDescent="0.25">
      <c r="A458" t="s">
        <v>21</v>
      </c>
      <c r="B458" t="s">
        <v>22</v>
      </c>
      <c r="C458">
        <v>5</v>
      </c>
      <c r="D458">
        <v>103890000</v>
      </c>
      <c r="E458">
        <v>1541760000</v>
      </c>
      <c r="F458">
        <v>12560000</v>
      </c>
      <c r="G458">
        <v>1462</v>
      </c>
      <c r="H458">
        <v>8.9599999999999999E-2</v>
      </c>
      <c r="I458" t="b">
        <v>1</v>
      </c>
      <c r="J458">
        <v>2004</v>
      </c>
      <c r="K458" t="s">
        <v>11</v>
      </c>
      <c r="L458" t="s">
        <v>23</v>
      </c>
      <c r="M458">
        <v>14.84</v>
      </c>
      <c r="N458">
        <v>8591</v>
      </c>
      <c r="O458">
        <v>21</v>
      </c>
    </row>
    <row r="459" spans="1:15" x14ac:dyDescent="0.25">
      <c r="A459" t="s">
        <v>84</v>
      </c>
      <c r="B459" t="s">
        <v>36</v>
      </c>
      <c r="C459">
        <v>1</v>
      </c>
      <c r="D459">
        <v>216600000</v>
      </c>
      <c r="E459">
        <v>2901850000</v>
      </c>
      <c r="F459">
        <v>56600000</v>
      </c>
      <c r="G459">
        <v>1308</v>
      </c>
      <c r="H459">
        <v>3.0200000000000001E-2</v>
      </c>
      <c r="I459" t="b">
        <v>0</v>
      </c>
      <c r="J459">
        <v>1997</v>
      </c>
      <c r="K459" t="s">
        <v>29</v>
      </c>
      <c r="L459" t="s">
        <v>20</v>
      </c>
      <c r="M459">
        <v>13.4</v>
      </c>
      <c r="N459">
        <v>43272</v>
      </c>
      <c r="O459">
        <v>28</v>
      </c>
    </row>
    <row r="460" spans="1:15" x14ac:dyDescent="0.25">
      <c r="A460" t="s">
        <v>85</v>
      </c>
      <c r="B460" t="s">
        <v>72</v>
      </c>
      <c r="C460">
        <v>1</v>
      </c>
      <c r="D460">
        <v>183320000</v>
      </c>
      <c r="E460">
        <v>2735140000</v>
      </c>
      <c r="F460">
        <v>97970000</v>
      </c>
      <c r="G460">
        <v>1139</v>
      </c>
      <c r="H460">
        <v>8.8099999999999998E-2</v>
      </c>
      <c r="I460" t="b">
        <v>1</v>
      </c>
      <c r="J460">
        <v>1996</v>
      </c>
      <c r="K460" t="s">
        <v>25</v>
      </c>
      <c r="L460" t="s">
        <v>12</v>
      </c>
      <c r="M460">
        <v>14.92</v>
      </c>
      <c r="N460">
        <v>86014</v>
      </c>
      <c r="O460">
        <v>29</v>
      </c>
    </row>
    <row r="461" spans="1:15" x14ac:dyDescent="0.25">
      <c r="A461" t="s">
        <v>86</v>
      </c>
      <c r="B461" t="s">
        <v>27</v>
      </c>
      <c r="C461">
        <v>2</v>
      </c>
      <c r="D461">
        <v>284820000</v>
      </c>
      <c r="E461">
        <v>3426140000</v>
      </c>
      <c r="F461">
        <v>16610000</v>
      </c>
      <c r="G461">
        <v>2191</v>
      </c>
      <c r="H461">
        <v>4.65E-2</v>
      </c>
      <c r="I461" t="b">
        <v>1</v>
      </c>
      <c r="J461">
        <v>2005</v>
      </c>
      <c r="K461" t="s">
        <v>38</v>
      </c>
      <c r="L461" t="s">
        <v>23</v>
      </c>
      <c r="M461">
        <v>12.03</v>
      </c>
      <c r="N461">
        <v>7581</v>
      </c>
      <c r="O461">
        <v>20</v>
      </c>
    </row>
    <row r="462" spans="1:15" x14ac:dyDescent="0.25">
      <c r="A462" t="s">
        <v>87</v>
      </c>
      <c r="B462" t="s">
        <v>10</v>
      </c>
      <c r="C462">
        <v>4</v>
      </c>
      <c r="D462">
        <v>119300000</v>
      </c>
      <c r="E462">
        <v>487430000</v>
      </c>
      <c r="F462">
        <v>70060000</v>
      </c>
      <c r="G462">
        <v>3175</v>
      </c>
      <c r="H462">
        <v>1.04E-2</v>
      </c>
      <c r="I462" t="b">
        <v>1</v>
      </c>
      <c r="J462">
        <v>2019</v>
      </c>
      <c r="K462" t="s">
        <v>15</v>
      </c>
      <c r="L462" t="s">
        <v>23</v>
      </c>
      <c r="M462">
        <v>4.09</v>
      </c>
      <c r="N462">
        <v>22066</v>
      </c>
      <c r="O462">
        <v>6</v>
      </c>
    </row>
    <row r="463" spans="1:15" x14ac:dyDescent="0.25">
      <c r="A463" t="s">
        <v>88</v>
      </c>
      <c r="B463" t="s">
        <v>10</v>
      </c>
      <c r="C463">
        <v>2</v>
      </c>
      <c r="D463">
        <v>286250000</v>
      </c>
      <c r="E463">
        <v>1850390000</v>
      </c>
      <c r="F463">
        <v>58620000</v>
      </c>
      <c r="G463">
        <v>3840</v>
      </c>
      <c r="H463">
        <v>8.2799999999999999E-2</v>
      </c>
      <c r="I463" t="b">
        <v>1</v>
      </c>
      <c r="J463">
        <v>1999</v>
      </c>
      <c r="K463" t="s">
        <v>15</v>
      </c>
      <c r="L463" t="s">
        <v>20</v>
      </c>
      <c r="M463">
        <v>6.46</v>
      </c>
      <c r="N463">
        <v>15266</v>
      </c>
      <c r="O463">
        <v>26</v>
      </c>
    </row>
    <row r="464" spans="1:15" x14ac:dyDescent="0.25">
      <c r="A464" t="s">
        <v>89</v>
      </c>
      <c r="B464" t="s">
        <v>72</v>
      </c>
      <c r="C464">
        <v>2</v>
      </c>
      <c r="D464">
        <v>40930000</v>
      </c>
      <c r="E464">
        <v>176380000</v>
      </c>
      <c r="F464">
        <v>58690000</v>
      </c>
      <c r="G464">
        <v>2156</v>
      </c>
      <c r="H464">
        <v>5.7000000000000002E-3</v>
      </c>
      <c r="I464" t="b">
        <v>1</v>
      </c>
      <c r="J464">
        <v>2007</v>
      </c>
      <c r="K464" t="s">
        <v>38</v>
      </c>
      <c r="L464" t="s">
        <v>20</v>
      </c>
      <c r="M464">
        <v>4.3099999999999996</v>
      </c>
      <c r="N464">
        <v>27222</v>
      </c>
      <c r="O464">
        <v>18</v>
      </c>
    </row>
    <row r="465" spans="1:15" x14ac:dyDescent="0.25">
      <c r="A465" t="s">
        <v>90</v>
      </c>
      <c r="B465" t="s">
        <v>31</v>
      </c>
      <c r="C465">
        <v>2</v>
      </c>
      <c r="D465">
        <v>145380000</v>
      </c>
      <c r="E465">
        <v>1571000000</v>
      </c>
      <c r="F465">
        <v>69800000</v>
      </c>
      <c r="G465">
        <v>1242</v>
      </c>
      <c r="H465">
        <v>7.2900000000000006E-2</v>
      </c>
      <c r="I465" t="b">
        <v>0</v>
      </c>
      <c r="J465">
        <v>1994</v>
      </c>
      <c r="K465" t="s">
        <v>29</v>
      </c>
      <c r="L465" t="s">
        <v>12</v>
      </c>
      <c r="M465">
        <v>10.81</v>
      </c>
      <c r="N465">
        <v>56200</v>
      </c>
      <c r="O465">
        <v>31</v>
      </c>
    </row>
    <row r="466" spans="1:15" x14ac:dyDescent="0.25">
      <c r="A466" t="s">
        <v>91</v>
      </c>
      <c r="B466" t="s">
        <v>31</v>
      </c>
      <c r="C466">
        <v>3</v>
      </c>
      <c r="D466">
        <v>81340000</v>
      </c>
      <c r="E466">
        <v>990910000</v>
      </c>
      <c r="F466">
        <v>92970000</v>
      </c>
      <c r="G466">
        <v>3740</v>
      </c>
      <c r="H466">
        <v>7.7600000000000002E-2</v>
      </c>
      <c r="I466" t="b">
        <v>0</v>
      </c>
      <c r="J466">
        <v>2018</v>
      </c>
      <c r="K466" t="s">
        <v>29</v>
      </c>
      <c r="L466" t="s">
        <v>23</v>
      </c>
      <c r="M466">
        <v>12.18</v>
      </c>
      <c r="N466">
        <v>24858</v>
      </c>
      <c r="O466">
        <v>7</v>
      </c>
    </row>
    <row r="467" spans="1:15" x14ac:dyDescent="0.25">
      <c r="A467" t="s">
        <v>92</v>
      </c>
      <c r="B467" t="s">
        <v>18</v>
      </c>
      <c r="C467">
        <v>3</v>
      </c>
      <c r="D467">
        <v>162180000</v>
      </c>
      <c r="E467">
        <v>2288050000</v>
      </c>
      <c r="F467">
        <v>78280000</v>
      </c>
      <c r="G467">
        <v>2839</v>
      </c>
      <c r="H467">
        <v>3.5900000000000001E-2</v>
      </c>
      <c r="I467" t="b">
        <v>0</v>
      </c>
      <c r="J467">
        <v>2012</v>
      </c>
      <c r="K467" t="s">
        <v>11</v>
      </c>
      <c r="L467" t="s">
        <v>12</v>
      </c>
      <c r="M467">
        <v>14.11</v>
      </c>
      <c r="N467">
        <v>27573</v>
      </c>
      <c r="O467">
        <v>13</v>
      </c>
    </row>
    <row r="468" spans="1:15" x14ac:dyDescent="0.25">
      <c r="A468" t="s">
        <v>93</v>
      </c>
      <c r="B468" t="s">
        <v>10</v>
      </c>
      <c r="C468">
        <v>2</v>
      </c>
      <c r="D468">
        <v>49020000</v>
      </c>
      <c r="E468">
        <v>404810000</v>
      </c>
      <c r="F468">
        <v>5710000</v>
      </c>
      <c r="G468">
        <v>4265</v>
      </c>
      <c r="H468">
        <v>8.2699999999999996E-2</v>
      </c>
      <c r="I468" t="b">
        <v>1</v>
      </c>
      <c r="J468">
        <v>1994</v>
      </c>
      <c r="K468" t="s">
        <v>25</v>
      </c>
      <c r="L468" t="s">
        <v>12</v>
      </c>
      <c r="M468">
        <v>8.26</v>
      </c>
      <c r="N468">
        <v>1339</v>
      </c>
      <c r="O468">
        <v>31</v>
      </c>
    </row>
    <row r="469" spans="1:15" x14ac:dyDescent="0.25">
      <c r="A469" t="s">
        <v>24</v>
      </c>
      <c r="B469" t="s">
        <v>18</v>
      </c>
      <c r="C469">
        <v>4</v>
      </c>
      <c r="D469">
        <v>232260000</v>
      </c>
      <c r="E469">
        <v>1039510000</v>
      </c>
      <c r="F469">
        <v>38600000</v>
      </c>
      <c r="G469">
        <v>1404</v>
      </c>
      <c r="H469">
        <v>1E-3</v>
      </c>
      <c r="I469" t="b">
        <v>0</v>
      </c>
      <c r="J469">
        <v>2016</v>
      </c>
      <c r="K469" t="s">
        <v>25</v>
      </c>
      <c r="L469" t="s">
        <v>12</v>
      </c>
      <c r="M469">
        <v>4.4800000000000004</v>
      </c>
      <c r="N469">
        <v>27493</v>
      </c>
      <c r="O469">
        <v>9</v>
      </c>
    </row>
    <row r="470" spans="1:15" x14ac:dyDescent="0.25">
      <c r="A470" t="s">
        <v>94</v>
      </c>
      <c r="B470" t="s">
        <v>10</v>
      </c>
      <c r="C470">
        <v>4</v>
      </c>
      <c r="D470">
        <v>252540000</v>
      </c>
      <c r="E470">
        <v>3489220000</v>
      </c>
      <c r="F470">
        <v>85290000</v>
      </c>
      <c r="G470">
        <v>1003</v>
      </c>
      <c r="H470">
        <v>5.21E-2</v>
      </c>
      <c r="I470" t="b">
        <v>0</v>
      </c>
      <c r="J470">
        <v>2019</v>
      </c>
      <c r="K470" t="s">
        <v>25</v>
      </c>
      <c r="L470" t="s">
        <v>12</v>
      </c>
      <c r="M470">
        <v>13.82</v>
      </c>
      <c r="N470">
        <v>85035</v>
      </c>
      <c r="O470">
        <v>6</v>
      </c>
    </row>
    <row r="471" spans="1:15" x14ac:dyDescent="0.25">
      <c r="A471" t="s">
        <v>95</v>
      </c>
      <c r="B471" t="s">
        <v>36</v>
      </c>
      <c r="C471">
        <v>1</v>
      </c>
      <c r="D471">
        <v>254000000</v>
      </c>
      <c r="E471">
        <v>3437810000</v>
      </c>
      <c r="F471">
        <v>22630000</v>
      </c>
      <c r="G471">
        <v>2572</v>
      </c>
      <c r="H471">
        <v>4.6899999999999997E-2</v>
      </c>
      <c r="I471" t="b">
        <v>1</v>
      </c>
      <c r="J471">
        <v>1995</v>
      </c>
      <c r="K471" t="s">
        <v>25</v>
      </c>
      <c r="L471" t="s">
        <v>12</v>
      </c>
      <c r="M471">
        <v>13.53</v>
      </c>
      <c r="N471">
        <v>8799</v>
      </c>
      <c r="O471">
        <v>30</v>
      </c>
    </row>
    <row r="472" spans="1:15" x14ac:dyDescent="0.25">
      <c r="A472" t="s">
        <v>96</v>
      </c>
      <c r="B472" t="s">
        <v>27</v>
      </c>
      <c r="C472">
        <v>4</v>
      </c>
      <c r="D472">
        <v>286590000</v>
      </c>
      <c r="E472">
        <v>1950630000</v>
      </c>
      <c r="F472">
        <v>37750000</v>
      </c>
      <c r="G472">
        <v>1312</v>
      </c>
      <c r="H472">
        <v>5.4999999999999997E-3</v>
      </c>
      <c r="I472" t="b">
        <v>0</v>
      </c>
      <c r="J472">
        <v>1993</v>
      </c>
      <c r="K472" t="s">
        <v>11</v>
      </c>
      <c r="L472" t="s">
        <v>12</v>
      </c>
      <c r="M472">
        <v>6.81</v>
      </c>
      <c r="N472">
        <v>28773</v>
      </c>
      <c r="O472">
        <v>32</v>
      </c>
    </row>
    <row r="473" spans="1:15" x14ac:dyDescent="0.25">
      <c r="A473" t="s">
        <v>97</v>
      </c>
      <c r="B473" t="s">
        <v>22</v>
      </c>
      <c r="C473">
        <v>5</v>
      </c>
      <c r="D473">
        <v>46820000</v>
      </c>
      <c r="E473">
        <v>628640000</v>
      </c>
      <c r="F473">
        <v>46230000</v>
      </c>
      <c r="G473">
        <v>661</v>
      </c>
      <c r="H473">
        <v>2.9700000000000001E-2</v>
      </c>
      <c r="I473" t="b">
        <v>1</v>
      </c>
      <c r="J473">
        <v>2018</v>
      </c>
      <c r="K473" t="s">
        <v>25</v>
      </c>
      <c r="L473" t="s">
        <v>12</v>
      </c>
      <c r="M473">
        <v>13.43</v>
      </c>
      <c r="N473">
        <v>69939</v>
      </c>
      <c r="O473">
        <v>7</v>
      </c>
    </row>
    <row r="474" spans="1:15" x14ac:dyDescent="0.25">
      <c r="A474" t="s">
        <v>98</v>
      </c>
      <c r="B474" t="s">
        <v>31</v>
      </c>
      <c r="C474">
        <v>3</v>
      </c>
      <c r="D474">
        <v>187190000</v>
      </c>
      <c r="E474">
        <v>1405440000</v>
      </c>
      <c r="F474">
        <v>48140000</v>
      </c>
      <c r="G474">
        <v>2665</v>
      </c>
      <c r="H474">
        <v>9.3200000000000005E-2</v>
      </c>
      <c r="I474" t="b">
        <v>1</v>
      </c>
      <c r="J474">
        <v>2012</v>
      </c>
      <c r="K474" t="s">
        <v>38</v>
      </c>
      <c r="L474" t="s">
        <v>20</v>
      </c>
      <c r="M474">
        <v>7.51</v>
      </c>
      <c r="N474">
        <v>18064</v>
      </c>
      <c r="O474">
        <v>13</v>
      </c>
    </row>
    <row r="475" spans="1:15" x14ac:dyDescent="0.25">
      <c r="A475" t="s">
        <v>99</v>
      </c>
      <c r="B475" t="s">
        <v>10</v>
      </c>
      <c r="C475">
        <v>1</v>
      </c>
      <c r="D475">
        <v>142530000</v>
      </c>
      <c r="E475">
        <v>935340000</v>
      </c>
      <c r="F475">
        <v>43570000</v>
      </c>
      <c r="G475">
        <v>2216</v>
      </c>
      <c r="H475">
        <v>3.9800000000000002E-2</v>
      </c>
      <c r="I475" t="b">
        <v>1</v>
      </c>
      <c r="J475">
        <v>1995</v>
      </c>
      <c r="K475" t="s">
        <v>11</v>
      </c>
      <c r="L475" t="s">
        <v>12</v>
      </c>
      <c r="M475">
        <v>6.56</v>
      </c>
      <c r="N475">
        <v>19662</v>
      </c>
      <c r="O475">
        <v>30</v>
      </c>
    </row>
    <row r="476" spans="1:15" x14ac:dyDescent="0.25">
      <c r="A476" t="s">
        <v>100</v>
      </c>
      <c r="B476" t="s">
        <v>36</v>
      </c>
      <c r="C476">
        <v>1</v>
      </c>
      <c r="D476">
        <v>103640000</v>
      </c>
      <c r="E476">
        <v>1118160000</v>
      </c>
      <c r="F476">
        <v>93740000</v>
      </c>
      <c r="G476">
        <v>1914</v>
      </c>
      <c r="H476">
        <v>5.5100000000000003E-2</v>
      </c>
      <c r="I476" t="b">
        <v>1</v>
      </c>
      <c r="J476">
        <v>2021</v>
      </c>
      <c r="K476" t="s">
        <v>38</v>
      </c>
      <c r="L476" t="s">
        <v>20</v>
      </c>
      <c r="M476">
        <v>10.79</v>
      </c>
      <c r="N476">
        <v>48976</v>
      </c>
      <c r="O476">
        <v>4</v>
      </c>
    </row>
    <row r="477" spans="1:15" x14ac:dyDescent="0.25">
      <c r="A477" t="s">
        <v>101</v>
      </c>
      <c r="B477" t="s">
        <v>14</v>
      </c>
      <c r="C477">
        <v>5</v>
      </c>
      <c r="D477">
        <v>105790000</v>
      </c>
      <c r="E477">
        <v>734240000</v>
      </c>
      <c r="F477">
        <v>70630000</v>
      </c>
      <c r="G477">
        <v>3735</v>
      </c>
      <c r="H477">
        <v>5.3699999999999998E-2</v>
      </c>
      <c r="I477" t="b">
        <v>1</v>
      </c>
      <c r="J477">
        <v>2007</v>
      </c>
      <c r="K477" t="s">
        <v>11</v>
      </c>
      <c r="L477" t="s">
        <v>23</v>
      </c>
      <c r="M477">
        <v>6.94</v>
      </c>
      <c r="N477">
        <v>18910</v>
      </c>
      <c r="O477">
        <v>18</v>
      </c>
    </row>
    <row r="478" spans="1:15" x14ac:dyDescent="0.25">
      <c r="A478" t="s">
        <v>102</v>
      </c>
      <c r="B478" t="s">
        <v>36</v>
      </c>
      <c r="C478">
        <v>5</v>
      </c>
      <c r="D478">
        <v>124130000</v>
      </c>
      <c r="E478">
        <v>1311120000</v>
      </c>
      <c r="F478">
        <v>63150000</v>
      </c>
      <c r="G478">
        <v>2051</v>
      </c>
      <c r="H478">
        <v>5.9499999999999997E-2</v>
      </c>
      <c r="I478" t="b">
        <v>1</v>
      </c>
      <c r="J478">
        <v>2004</v>
      </c>
      <c r="K478" t="s">
        <v>25</v>
      </c>
      <c r="L478" t="s">
        <v>23</v>
      </c>
      <c r="M478">
        <v>10.56</v>
      </c>
      <c r="N478">
        <v>30790</v>
      </c>
      <c r="O478">
        <v>21</v>
      </c>
    </row>
    <row r="479" spans="1:15" x14ac:dyDescent="0.25">
      <c r="A479" t="s">
        <v>103</v>
      </c>
      <c r="B479" t="s">
        <v>31</v>
      </c>
      <c r="C479">
        <v>2</v>
      </c>
      <c r="D479">
        <v>211630000</v>
      </c>
      <c r="E479">
        <v>2183590000</v>
      </c>
      <c r="F479">
        <v>5080000</v>
      </c>
      <c r="G479">
        <v>3167</v>
      </c>
      <c r="H479">
        <v>7.1000000000000004E-3</v>
      </c>
      <c r="I479" t="b">
        <v>1</v>
      </c>
      <c r="J479">
        <v>2021</v>
      </c>
      <c r="K479" t="s">
        <v>38</v>
      </c>
      <c r="L479" t="s">
        <v>12</v>
      </c>
      <c r="M479">
        <v>10.32</v>
      </c>
      <c r="N479">
        <v>1604</v>
      </c>
      <c r="O479">
        <v>4</v>
      </c>
    </row>
    <row r="480" spans="1:15" x14ac:dyDescent="0.25">
      <c r="A480" t="s">
        <v>26</v>
      </c>
      <c r="B480" t="s">
        <v>27</v>
      </c>
      <c r="C480">
        <v>5</v>
      </c>
      <c r="D480">
        <v>109150000</v>
      </c>
      <c r="E480">
        <v>630190000</v>
      </c>
      <c r="F480">
        <v>64370000</v>
      </c>
      <c r="G480">
        <v>3420</v>
      </c>
      <c r="H480">
        <v>9.0200000000000002E-2</v>
      </c>
      <c r="I480" t="b">
        <v>1</v>
      </c>
      <c r="J480">
        <v>2002</v>
      </c>
      <c r="K480" t="s">
        <v>25</v>
      </c>
      <c r="L480" t="s">
        <v>23</v>
      </c>
      <c r="M480">
        <v>5.77</v>
      </c>
      <c r="N480">
        <v>18822</v>
      </c>
      <c r="O480">
        <v>23</v>
      </c>
    </row>
    <row r="481" spans="1:15" x14ac:dyDescent="0.25">
      <c r="A481" t="s">
        <v>104</v>
      </c>
      <c r="B481" t="s">
        <v>31</v>
      </c>
      <c r="C481">
        <v>3</v>
      </c>
      <c r="D481">
        <v>179690000</v>
      </c>
      <c r="E481">
        <v>1754000000</v>
      </c>
      <c r="F481">
        <v>90400000</v>
      </c>
      <c r="G481">
        <v>1145</v>
      </c>
      <c r="H481">
        <v>3.6900000000000002E-2</v>
      </c>
      <c r="I481" t="b">
        <v>1</v>
      </c>
      <c r="J481">
        <v>1998</v>
      </c>
      <c r="K481" t="s">
        <v>38</v>
      </c>
      <c r="L481" t="s">
        <v>20</v>
      </c>
      <c r="M481">
        <v>9.76</v>
      </c>
      <c r="N481">
        <v>78952</v>
      </c>
      <c r="O481">
        <v>27</v>
      </c>
    </row>
    <row r="482" spans="1:15" x14ac:dyDescent="0.25">
      <c r="A482" t="s">
        <v>105</v>
      </c>
      <c r="B482" t="s">
        <v>36</v>
      </c>
      <c r="C482">
        <v>3</v>
      </c>
      <c r="D482">
        <v>138170000</v>
      </c>
      <c r="E482">
        <v>1045260000</v>
      </c>
      <c r="F482">
        <v>90950000</v>
      </c>
      <c r="G482">
        <v>271</v>
      </c>
      <c r="H482">
        <v>7.2599999999999998E-2</v>
      </c>
      <c r="I482" t="b">
        <v>1</v>
      </c>
      <c r="J482">
        <v>1999</v>
      </c>
      <c r="K482" t="s">
        <v>38</v>
      </c>
      <c r="L482" t="s">
        <v>12</v>
      </c>
      <c r="M482">
        <v>7.57</v>
      </c>
      <c r="N482">
        <v>335609</v>
      </c>
      <c r="O482">
        <v>26</v>
      </c>
    </row>
    <row r="483" spans="1:15" x14ac:dyDescent="0.25">
      <c r="A483" t="s">
        <v>106</v>
      </c>
      <c r="B483" t="s">
        <v>22</v>
      </c>
      <c r="C483">
        <v>4</v>
      </c>
      <c r="D483">
        <v>23240000</v>
      </c>
      <c r="E483">
        <v>222690000</v>
      </c>
      <c r="F483">
        <v>78040000</v>
      </c>
      <c r="G483">
        <v>1850</v>
      </c>
      <c r="H483">
        <v>2.0899999999999998E-2</v>
      </c>
      <c r="I483" t="b">
        <v>0</v>
      </c>
      <c r="J483">
        <v>2009</v>
      </c>
      <c r="K483" t="s">
        <v>11</v>
      </c>
      <c r="L483" t="s">
        <v>20</v>
      </c>
      <c r="M483">
        <v>9.58</v>
      </c>
      <c r="N483">
        <v>42184</v>
      </c>
      <c r="O483">
        <v>16</v>
      </c>
    </row>
    <row r="484" spans="1:15" x14ac:dyDescent="0.25">
      <c r="A484" t="s">
        <v>107</v>
      </c>
      <c r="B484" t="s">
        <v>72</v>
      </c>
      <c r="C484">
        <v>2</v>
      </c>
      <c r="D484">
        <v>23790000</v>
      </c>
      <c r="E484">
        <v>241650000</v>
      </c>
      <c r="F484">
        <v>800000</v>
      </c>
      <c r="G484">
        <v>1713</v>
      </c>
      <c r="H484">
        <v>2.12E-2</v>
      </c>
      <c r="I484" t="b">
        <v>0</v>
      </c>
      <c r="J484">
        <v>1995</v>
      </c>
      <c r="K484" t="s">
        <v>15</v>
      </c>
      <c r="L484" t="s">
        <v>12</v>
      </c>
      <c r="M484">
        <v>10.16</v>
      </c>
      <c r="N484">
        <v>467</v>
      </c>
      <c r="O484">
        <v>30</v>
      </c>
    </row>
    <row r="485" spans="1:15" x14ac:dyDescent="0.25">
      <c r="A485" t="s">
        <v>108</v>
      </c>
      <c r="B485" t="s">
        <v>31</v>
      </c>
      <c r="C485">
        <v>2</v>
      </c>
      <c r="D485">
        <v>1200000</v>
      </c>
      <c r="E485">
        <v>11460000</v>
      </c>
      <c r="F485">
        <v>5820000</v>
      </c>
      <c r="G485">
        <v>3635</v>
      </c>
      <c r="H485">
        <v>2E-3</v>
      </c>
      <c r="I485" t="b">
        <v>0</v>
      </c>
      <c r="J485">
        <v>1992</v>
      </c>
      <c r="K485" t="s">
        <v>25</v>
      </c>
      <c r="L485" t="s">
        <v>20</v>
      </c>
      <c r="M485">
        <v>9.5500000000000007</v>
      </c>
      <c r="N485">
        <v>1601</v>
      </c>
      <c r="O485">
        <v>33</v>
      </c>
    </row>
    <row r="486" spans="1:15" x14ac:dyDescent="0.25">
      <c r="A486" t="s">
        <v>109</v>
      </c>
      <c r="B486" t="s">
        <v>36</v>
      </c>
      <c r="C486">
        <v>2</v>
      </c>
      <c r="D486">
        <v>290330000</v>
      </c>
      <c r="E486">
        <v>2419330000</v>
      </c>
      <c r="F486">
        <v>22600000</v>
      </c>
      <c r="G486">
        <v>3216</v>
      </c>
      <c r="H486">
        <v>4.4299999999999999E-2</v>
      </c>
      <c r="I486" t="b">
        <v>0</v>
      </c>
      <c r="J486">
        <v>2000</v>
      </c>
      <c r="K486" t="s">
        <v>38</v>
      </c>
      <c r="L486" t="s">
        <v>20</v>
      </c>
      <c r="M486">
        <v>8.33</v>
      </c>
      <c r="N486">
        <v>7027</v>
      </c>
      <c r="O486">
        <v>25</v>
      </c>
    </row>
    <row r="487" spans="1:15" x14ac:dyDescent="0.25">
      <c r="A487" t="s">
        <v>110</v>
      </c>
      <c r="B487" t="s">
        <v>10</v>
      </c>
      <c r="C487">
        <v>2</v>
      </c>
      <c r="D487">
        <v>2070000</v>
      </c>
      <c r="E487">
        <v>6570000</v>
      </c>
      <c r="F487">
        <v>13220000</v>
      </c>
      <c r="G487">
        <v>2298</v>
      </c>
      <c r="H487">
        <v>8.8400000000000006E-2</v>
      </c>
      <c r="I487" t="b">
        <v>0</v>
      </c>
      <c r="J487">
        <v>2006</v>
      </c>
      <c r="K487" t="s">
        <v>15</v>
      </c>
      <c r="L487" t="s">
        <v>12</v>
      </c>
      <c r="M487">
        <v>3.17</v>
      </c>
      <c r="N487">
        <v>5753</v>
      </c>
      <c r="O487">
        <v>19</v>
      </c>
    </row>
    <row r="488" spans="1:15" x14ac:dyDescent="0.25">
      <c r="A488" t="s">
        <v>111</v>
      </c>
      <c r="B488" t="s">
        <v>36</v>
      </c>
      <c r="C488">
        <v>3</v>
      </c>
      <c r="D488">
        <v>31380000</v>
      </c>
      <c r="E488">
        <v>315200000</v>
      </c>
      <c r="F488">
        <v>39940000</v>
      </c>
      <c r="G488">
        <v>3737</v>
      </c>
      <c r="H488">
        <v>6.1000000000000004E-3</v>
      </c>
      <c r="I488" t="b">
        <v>1</v>
      </c>
      <c r="J488">
        <v>2021</v>
      </c>
      <c r="K488" t="s">
        <v>25</v>
      </c>
      <c r="L488" t="s">
        <v>20</v>
      </c>
      <c r="M488">
        <v>10.039999999999999</v>
      </c>
      <c r="N488">
        <v>10688</v>
      </c>
      <c r="O488">
        <v>4</v>
      </c>
    </row>
    <row r="489" spans="1:15" x14ac:dyDescent="0.25">
      <c r="A489" t="s">
        <v>112</v>
      </c>
      <c r="B489" t="s">
        <v>27</v>
      </c>
      <c r="C489">
        <v>3</v>
      </c>
      <c r="D489">
        <v>94720000</v>
      </c>
      <c r="E489">
        <v>475620000</v>
      </c>
      <c r="F489">
        <v>92270000</v>
      </c>
      <c r="G489">
        <v>3834</v>
      </c>
      <c r="H489">
        <v>1.9900000000000001E-2</v>
      </c>
      <c r="I489" t="b">
        <v>1</v>
      </c>
      <c r="J489">
        <v>1993</v>
      </c>
      <c r="K489" t="s">
        <v>25</v>
      </c>
      <c r="L489" t="s">
        <v>12</v>
      </c>
      <c r="M489">
        <v>5.0199999999999996</v>
      </c>
      <c r="N489">
        <v>24066</v>
      </c>
      <c r="O489">
        <v>32</v>
      </c>
    </row>
    <row r="490" spans="1:15" x14ac:dyDescent="0.25">
      <c r="A490" t="s">
        <v>113</v>
      </c>
      <c r="B490" t="s">
        <v>72</v>
      </c>
      <c r="C490">
        <v>2</v>
      </c>
      <c r="D490">
        <v>242330000</v>
      </c>
      <c r="E490">
        <v>2595580000</v>
      </c>
      <c r="F490">
        <v>47260000</v>
      </c>
      <c r="G490">
        <v>1515</v>
      </c>
      <c r="H490">
        <v>3.1699999999999999E-2</v>
      </c>
      <c r="I490" t="b">
        <v>1</v>
      </c>
      <c r="J490">
        <v>1993</v>
      </c>
      <c r="K490" t="s">
        <v>38</v>
      </c>
      <c r="L490" t="s">
        <v>12</v>
      </c>
      <c r="M490">
        <v>10.71</v>
      </c>
      <c r="N490">
        <v>31195</v>
      </c>
      <c r="O490">
        <v>32</v>
      </c>
    </row>
    <row r="491" spans="1:15" x14ac:dyDescent="0.25">
      <c r="A491" t="s">
        <v>28</v>
      </c>
      <c r="B491" t="s">
        <v>18</v>
      </c>
      <c r="C491">
        <v>5</v>
      </c>
      <c r="D491">
        <v>258390000</v>
      </c>
      <c r="E491">
        <v>935470000</v>
      </c>
      <c r="F491">
        <v>78060000</v>
      </c>
      <c r="G491">
        <v>447</v>
      </c>
      <c r="H491">
        <v>1.6199999999999999E-2</v>
      </c>
      <c r="I491" t="b">
        <v>0</v>
      </c>
      <c r="J491">
        <v>2020</v>
      </c>
      <c r="K491" t="s">
        <v>29</v>
      </c>
      <c r="L491" t="s">
        <v>20</v>
      </c>
      <c r="M491">
        <v>3.62</v>
      </c>
      <c r="N491">
        <v>174631</v>
      </c>
      <c r="O491">
        <v>5</v>
      </c>
    </row>
    <row r="492" spans="1:15" x14ac:dyDescent="0.25">
      <c r="A492" t="s">
        <v>114</v>
      </c>
      <c r="B492" t="s">
        <v>14</v>
      </c>
      <c r="C492">
        <v>4</v>
      </c>
      <c r="D492">
        <v>288650000</v>
      </c>
      <c r="E492">
        <v>3496170000</v>
      </c>
      <c r="F492">
        <v>1440000</v>
      </c>
      <c r="G492">
        <v>480</v>
      </c>
      <c r="H492">
        <v>7.3400000000000007E-2</v>
      </c>
      <c r="I492" t="b">
        <v>0</v>
      </c>
      <c r="J492">
        <v>2006</v>
      </c>
      <c r="K492" t="s">
        <v>38</v>
      </c>
      <c r="L492" t="s">
        <v>20</v>
      </c>
      <c r="M492">
        <v>12.11</v>
      </c>
      <c r="N492">
        <v>3000</v>
      </c>
      <c r="O492">
        <v>19</v>
      </c>
    </row>
    <row r="493" spans="1:15" x14ac:dyDescent="0.25">
      <c r="A493" t="s">
        <v>115</v>
      </c>
      <c r="B493" t="s">
        <v>22</v>
      </c>
      <c r="C493">
        <v>1</v>
      </c>
      <c r="D493">
        <v>237110000</v>
      </c>
      <c r="E493">
        <v>2135260000</v>
      </c>
      <c r="F493">
        <v>28350000</v>
      </c>
      <c r="G493">
        <v>981</v>
      </c>
      <c r="H493">
        <v>6.4399999999999999E-2</v>
      </c>
      <c r="I493" t="b">
        <v>0</v>
      </c>
      <c r="J493">
        <v>2008</v>
      </c>
      <c r="K493" t="s">
        <v>11</v>
      </c>
      <c r="L493" t="s">
        <v>12</v>
      </c>
      <c r="M493">
        <v>9.01</v>
      </c>
      <c r="N493">
        <v>28899</v>
      </c>
      <c r="O493">
        <v>17</v>
      </c>
    </row>
    <row r="494" spans="1:15" x14ac:dyDescent="0.25">
      <c r="A494" t="s">
        <v>116</v>
      </c>
      <c r="B494" t="s">
        <v>18</v>
      </c>
      <c r="C494">
        <v>1</v>
      </c>
      <c r="D494">
        <v>207320000</v>
      </c>
      <c r="E494">
        <v>1971270000</v>
      </c>
      <c r="F494">
        <v>4560000</v>
      </c>
      <c r="G494">
        <v>1212</v>
      </c>
      <c r="H494">
        <v>4.2200000000000001E-2</v>
      </c>
      <c r="I494" t="b">
        <v>0</v>
      </c>
      <c r="J494">
        <v>1994</v>
      </c>
      <c r="K494" t="s">
        <v>15</v>
      </c>
      <c r="L494" t="s">
        <v>23</v>
      </c>
      <c r="M494">
        <v>9.51</v>
      </c>
      <c r="N494">
        <v>3762</v>
      </c>
      <c r="O494">
        <v>31</v>
      </c>
    </row>
    <row r="495" spans="1:15" x14ac:dyDescent="0.25">
      <c r="A495" t="s">
        <v>117</v>
      </c>
      <c r="B495" t="s">
        <v>14</v>
      </c>
      <c r="C495">
        <v>4</v>
      </c>
      <c r="D495">
        <v>156630000</v>
      </c>
      <c r="E495">
        <v>2258250000</v>
      </c>
      <c r="F495">
        <v>3730000</v>
      </c>
      <c r="G495">
        <v>1965</v>
      </c>
      <c r="H495">
        <v>7.6100000000000001E-2</v>
      </c>
      <c r="I495" t="b">
        <v>0</v>
      </c>
      <c r="J495">
        <v>2021</v>
      </c>
      <c r="K495" t="s">
        <v>15</v>
      </c>
      <c r="L495" t="s">
        <v>12</v>
      </c>
      <c r="M495">
        <v>14.42</v>
      </c>
      <c r="N495">
        <v>1898</v>
      </c>
      <c r="O495">
        <v>4</v>
      </c>
    </row>
    <row r="496" spans="1:15" x14ac:dyDescent="0.25">
      <c r="A496" t="s">
        <v>118</v>
      </c>
      <c r="B496" t="s">
        <v>72</v>
      </c>
      <c r="C496">
        <v>2</v>
      </c>
      <c r="D496">
        <v>26470000</v>
      </c>
      <c r="E496">
        <v>348500000</v>
      </c>
      <c r="F496">
        <v>27640000</v>
      </c>
      <c r="G496">
        <v>562</v>
      </c>
      <c r="H496">
        <v>6.1400000000000003E-2</v>
      </c>
      <c r="I496" t="b">
        <v>0</v>
      </c>
      <c r="J496">
        <v>2011</v>
      </c>
      <c r="K496" t="s">
        <v>38</v>
      </c>
      <c r="L496" t="s">
        <v>20</v>
      </c>
      <c r="M496">
        <v>13.17</v>
      </c>
      <c r="N496">
        <v>49181</v>
      </c>
      <c r="O496">
        <v>14</v>
      </c>
    </row>
    <row r="497" spans="1:15" x14ac:dyDescent="0.25">
      <c r="A497" t="s">
        <v>119</v>
      </c>
      <c r="B497" t="s">
        <v>72</v>
      </c>
      <c r="C497">
        <v>3</v>
      </c>
      <c r="D497">
        <v>287470000</v>
      </c>
      <c r="E497">
        <v>4016200000</v>
      </c>
      <c r="F497">
        <v>27630000</v>
      </c>
      <c r="G497">
        <v>887</v>
      </c>
      <c r="H497">
        <v>8.9700000000000002E-2</v>
      </c>
      <c r="I497" t="b">
        <v>0</v>
      </c>
      <c r="J497">
        <v>1995</v>
      </c>
      <c r="K497" t="s">
        <v>25</v>
      </c>
      <c r="L497" t="s">
        <v>12</v>
      </c>
      <c r="M497">
        <v>13.97</v>
      </c>
      <c r="N497">
        <v>31150</v>
      </c>
      <c r="O497">
        <v>30</v>
      </c>
    </row>
    <row r="498" spans="1:15" x14ac:dyDescent="0.25">
      <c r="A498" t="s">
        <v>120</v>
      </c>
      <c r="B498" t="s">
        <v>72</v>
      </c>
      <c r="C498">
        <v>1</v>
      </c>
      <c r="D498">
        <v>227640000</v>
      </c>
      <c r="E498">
        <v>2905870000</v>
      </c>
      <c r="F498">
        <v>78730000</v>
      </c>
      <c r="G498">
        <v>2199</v>
      </c>
      <c r="H498">
        <v>8.2000000000000003E-2</v>
      </c>
      <c r="I498" t="b">
        <v>1</v>
      </c>
      <c r="J498">
        <v>2011</v>
      </c>
      <c r="K498" t="s">
        <v>38</v>
      </c>
      <c r="L498" t="s">
        <v>20</v>
      </c>
      <c r="M498">
        <v>12.77</v>
      </c>
      <c r="N498">
        <v>35803</v>
      </c>
      <c r="O498">
        <v>14</v>
      </c>
    </row>
    <row r="499" spans="1:15" x14ac:dyDescent="0.25">
      <c r="A499" t="s">
        <v>121</v>
      </c>
      <c r="B499" t="s">
        <v>14</v>
      </c>
      <c r="C499">
        <v>5</v>
      </c>
      <c r="D499">
        <v>191870000</v>
      </c>
      <c r="E499">
        <v>826390000</v>
      </c>
      <c r="F499">
        <v>97490000</v>
      </c>
      <c r="G499">
        <v>4766</v>
      </c>
      <c r="H499">
        <v>2.5999999999999999E-2</v>
      </c>
      <c r="I499" t="b">
        <v>1</v>
      </c>
      <c r="J499">
        <v>1990</v>
      </c>
      <c r="K499" t="s">
        <v>25</v>
      </c>
      <c r="L499" t="s">
        <v>12</v>
      </c>
      <c r="M499">
        <v>4.3099999999999996</v>
      </c>
      <c r="N499">
        <v>20455</v>
      </c>
      <c r="O499">
        <v>35</v>
      </c>
    </row>
    <row r="500" spans="1:15" x14ac:dyDescent="0.25">
      <c r="A500" t="s">
        <v>122</v>
      </c>
      <c r="B500" t="s">
        <v>10</v>
      </c>
      <c r="C500">
        <v>5</v>
      </c>
      <c r="D500">
        <v>227830000</v>
      </c>
      <c r="E500">
        <v>1090830000</v>
      </c>
      <c r="F500">
        <v>37180000</v>
      </c>
      <c r="G500">
        <v>2672</v>
      </c>
      <c r="H500">
        <v>2.7900000000000001E-2</v>
      </c>
      <c r="I500" t="b">
        <v>0</v>
      </c>
      <c r="J500">
        <v>2009</v>
      </c>
      <c r="K500" t="s">
        <v>25</v>
      </c>
      <c r="L500" t="s">
        <v>12</v>
      </c>
      <c r="M500">
        <v>4.79</v>
      </c>
      <c r="N500">
        <v>13915</v>
      </c>
      <c r="O500">
        <v>16</v>
      </c>
    </row>
    <row r="501" spans="1:15" x14ac:dyDescent="0.25">
      <c r="A501" t="s">
        <v>123</v>
      </c>
      <c r="B501" t="s">
        <v>72</v>
      </c>
      <c r="C501">
        <v>4</v>
      </c>
      <c r="D501">
        <v>217370000</v>
      </c>
      <c r="E501">
        <v>2025780000</v>
      </c>
      <c r="F501">
        <v>42950000</v>
      </c>
      <c r="G501">
        <v>4964</v>
      </c>
      <c r="H501">
        <v>1.34E-2</v>
      </c>
      <c r="I501" t="b">
        <v>0</v>
      </c>
      <c r="J501">
        <v>2011</v>
      </c>
      <c r="K501" t="s">
        <v>38</v>
      </c>
      <c r="L501" t="s">
        <v>12</v>
      </c>
      <c r="M501">
        <v>9.32</v>
      </c>
      <c r="N501">
        <v>8652</v>
      </c>
      <c r="O501">
        <v>14</v>
      </c>
    </row>
    <row r="502" spans="1:15" x14ac:dyDescent="0.25">
      <c r="D502"/>
      <c r="E502"/>
      <c r="F502"/>
      <c r="H502"/>
    </row>
    <row r="503" spans="1:15" x14ac:dyDescent="0.25">
      <c r="D503"/>
      <c r="E503"/>
      <c r="F503"/>
      <c r="H503"/>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28201-91C1-45AD-BBBB-8859F65C0F03}">
  <sheetPr codeName="Sheet3"/>
  <dimension ref="A1:P501"/>
  <sheetViews>
    <sheetView workbookViewId="0">
      <selection activeCell="P25" sqref="P25"/>
    </sheetView>
  </sheetViews>
  <sheetFormatPr defaultRowHeight="15" x14ac:dyDescent="0.25"/>
  <cols>
    <col min="1" max="1" width="15.7109375" bestFit="1" customWidth="1"/>
    <col min="2" max="2" width="12.7109375" bestFit="1" customWidth="1"/>
    <col min="3" max="3" width="17.85546875" bestFit="1" customWidth="1"/>
    <col min="4" max="4" width="18" bestFit="1" customWidth="1"/>
    <col min="5" max="5" width="11.7109375" bestFit="1" customWidth="1"/>
    <col min="6" max="6" width="11.28515625" bestFit="1" customWidth="1"/>
    <col min="7" max="7" width="13.28515625" bestFit="1" customWidth="1"/>
    <col min="8" max="8" width="18.5703125" bestFit="1" customWidth="1"/>
    <col min="9" max="9" width="12.140625" bestFit="1" customWidth="1"/>
    <col min="10" max="10" width="15.7109375" bestFit="1" customWidth="1"/>
    <col min="11" max="11" width="13.85546875" bestFit="1" customWidth="1"/>
    <col min="12" max="12" width="12.85546875" bestFit="1" customWidth="1"/>
    <col min="13" max="13" width="26.140625" bestFit="1" customWidth="1"/>
    <col min="14" max="14" width="23.7109375" bestFit="1" customWidth="1"/>
    <col min="15" max="15" width="13.5703125" bestFit="1" customWidth="1"/>
    <col min="16" max="16" width="21.140625" bestFit="1" customWidth="1"/>
    <col min="17" max="503" width="16.85546875" bestFit="1" customWidth="1"/>
    <col min="504" max="504" width="11.28515625" bestFit="1" customWidth="1"/>
  </cols>
  <sheetData>
    <row r="1" spans="1:16" x14ac:dyDescent="0.25">
      <c r="A1" t="s">
        <v>0</v>
      </c>
      <c r="B1" t="s">
        <v>1</v>
      </c>
      <c r="C1" t="s">
        <v>2</v>
      </c>
      <c r="D1" t="s">
        <v>525</v>
      </c>
      <c r="E1" t="s">
        <v>526</v>
      </c>
      <c r="F1" t="s">
        <v>527</v>
      </c>
      <c r="G1" t="s">
        <v>3</v>
      </c>
      <c r="H1" t="s">
        <v>4</v>
      </c>
      <c r="I1" t="s">
        <v>5</v>
      </c>
      <c r="J1" t="s">
        <v>6</v>
      </c>
      <c r="K1" t="s">
        <v>7</v>
      </c>
      <c r="L1" t="s">
        <v>8</v>
      </c>
      <c r="M1" t="s">
        <v>534</v>
      </c>
      <c r="N1" t="s">
        <v>537</v>
      </c>
      <c r="O1" t="s">
        <v>555</v>
      </c>
      <c r="P1" t="s">
        <v>531</v>
      </c>
    </row>
    <row r="2" spans="1:16" x14ac:dyDescent="0.25">
      <c r="A2" t="s">
        <v>24</v>
      </c>
      <c r="B2" t="s">
        <v>18</v>
      </c>
      <c r="C2">
        <v>4</v>
      </c>
      <c r="D2">
        <v>232260000</v>
      </c>
      <c r="E2">
        <v>1039510000</v>
      </c>
      <c r="F2">
        <v>38600000</v>
      </c>
      <c r="G2">
        <v>1404</v>
      </c>
      <c r="H2">
        <v>1E-3</v>
      </c>
      <c r="I2" t="b">
        <v>0</v>
      </c>
      <c r="J2">
        <v>2016</v>
      </c>
      <c r="K2" t="s">
        <v>25</v>
      </c>
      <c r="L2" t="s">
        <v>12</v>
      </c>
      <c r="M2">
        <v>4.4800000000000004</v>
      </c>
      <c r="N2">
        <v>27493</v>
      </c>
      <c r="O2">
        <v>9</v>
      </c>
      <c r="P2" t="str">
        <f>IF('Funding Insights'!$D$5="Industry",Table_startup_data_13[[#This Row],[Industry]],Table_startup_data_13[[#This Row],[Region]])</f>
        <v>Gaming</v>
      </c>
    </row>
    <row r="3" spans="1:16" x14ac:dyDescent="0.25">
      <c r="A3" t="s">
        <v>39</v>
      </c>
      <c r="B3" t="s">
        <v>27</v>
      </c>
      <c r="C3">
        <v>2</v>
      </c>
      <c r="D3">
        <v>141580000</v>
      </c>
      <c r="E3">
        <v>1593980000</v>
      </c>
      <c r="F3">
        <v>16770000</v>
      </c>
      <c r="G3">
        <v>1846</v>
      </c>
      <c r="H3">
        <v>0.01</v>
      </c>
      <c r="I3" t="b">
        <v>1</v>
      </c>
      <c r="J3">
        <v>1994</v>
      </c>
      <c r="K3" t="s">
        <v>25</v>
      </c>
      <c r="L3" t="s">
        <v>12</v>
      </c>
      <c r="M3">
        <v>11.26</v>
      </c>
      <c r="N3">
        <v>9085</v>
      </c>
      <c r="O3">
        <v>31</v>
      </c>
      <c r="P3" t="str">
        <f>IF('Funding Insights'!$D$5="Industry",Table_startup_data_13[[#This Row],[Industry]],Table_startup_data_13[[#This Row],[Region]])</f>
        <v>HealthTech</v>
      </c>
    </row>
    <row r="4" spans="1:16" x14ac:dyDescent="0.25">
      <c r="A4" t="s">
        <v>41</v>
      </c>
      <c r="B4" t="s">
        <v>36</v>
      </c>
      <c r="C4">
        <v>2</v>
      </c>
      <c r="D4">
        <v>145690000</v>
      </c>
      <c r="E4">
        <v>1276060000</v>
      </c>
      <c r="F4">
        <v>38830000</v>
      </c>
      <c r="G4">
        <v>915</v>
      </c>
      <c r="H4">
        <v>6.7000000000000002E-3</v>
      </c>
      <c r="I4" t="b">
        <v>1</v>
      </c>
      <c r="J4">
        <v>2009</v>
      </c>
      <c r="K4" t="s">
        <v>25</v>
      </c>
      <c r="L4" t="s">
        <v>12</v>
      </c>
      <c r="M4">
        <v>8.76</v>
      </c>
      <c r="N4">
        <v>42437</v>
      </c>
      <c r="O4">
        <v>16</v>
      </c>
      <c r="P4" t="str">
        <f>IF('Funding Insights'!$D$5="Industry",Table_startup_data_13[[#This Row],[Industry]],Table_startup_data_13[[#This Row],[Region]])</f>
        <v>Cybersecurity</v>
      </c>
    </row>
    <row r="5" spans="1:16" x14ac:dyDescent="0.25">
      <c r="A5" t="s">
        <v>46</v>
      </c>
      <c r="B5" t="s">
        <v>36</v>
      </c>
      <c r="C5">
        <v>1</v>
      </c>
      <c r="D5">
        <v>65800000</v>
      </c>
      <c r="E5">
        <v>655460000</v>
      </c>
      <c r="F5">
        <v>10500000</v>
      </c>
      <c r="G5">
        <v>2177</v>
      </c>
      <c r="H5">
        <v>3.9199999999999999E-2</v>
      </c>
      <c r="I5" t="b">
        <v>0</v>
      </c>
      <c r="J5">
        <v>2006</v>
      </c>
      <c r="K5" t="s">
        <v>25</v>
      </c>
      <c r="L5" t="s">
        <v>12</v>
      </c>
      <c r="M5">
        <v>9.9600000000000009</v>
      </c>
      <c r="N5">
        <v>4823</v>
      </c>
      <c r="O5">
        <v>19</v>
      </c>
      <c r="P5" t="str">
        <f>IF('Funding Insights'!$D$5="Industry",Table_startup_data_13[[#This Row],[Industry]],Table_startup_data_13[[#This Row],[Region]])</f>
        <v>Cybersecurity</v>
      </c>
    </row>
    <row r="6" spans="1:16" x14ac:dyDescent="0.25">
      <c r="A6" t="s">
        <v>50</v>
      </c>
      <c r="B6" t="s">
        <v>27</v>
      </c>
      <c r="C6">
        <v>5</v>
      </c>
      <c r="D6">
        <v>270220000</v>
      </c>
      <c r="E6">
        <v>2536540000</v>
      </c>
      <c r="F6">
        <v>48710000</v>
      </c>
      <c r="G6">
        <v>2421</v>
      </c>
      <c r="H6">
        <v>9.0300000000000005E-2</v>
      </c>
      <c r="I6" t="b">
        <v>1</v>
      </c>
      <c r="J6">
        <v>1996</v>
      </c>
      <c r="K6" t="s">
        <v>25</v>
      </c>
      <c r="L6" t="s">
        <v>12</v>
      </c>
      <c r="M6">
        <v>9.39</v>
      </c>
      <c r="N6">
        <v>20120</v>
      </c>
      <c r="O6">
        <v>29</v>
      </c>
      <c r="P6" t="str">
        <f>IF('Funding Insights'!$D$5="Industry",Table_startup_data_13[[#This Row],[Industry]],Table_startup_data_13[[#This Row],[Region]])</f>
        <v>HealthTech</v>
      </c>
    </row>
    <row r="7" spans="1:16" x14ac:dyDescent="0.25">
      <c r="A7" t="s">
        <v>55</v>
      </c>
      <c r="B7" t="s">
        <v>18</v>
      </c>
      <c r="C7">
        <v>1</v>
      </c>
      <c r="D7">
        <v>244610000</v>
      </c>
      <c r="E7">
        <v>2885120000</v>
      </c>
      <c r="F7">
        <v>63690000</v>
      </c>
      <c r="G7">
        <v>2161</v>
      </c>
      <c r="H7">
        <v>7.5399999999999995E-2</v>
      </c>
      <c r="I7" t="b">
        <v>0</v>
      </c>
      <c r="J7">
        <v>2009</v>
      </c>
      <c r="K7" t="s">
        <v>25</v>
      </c>
      <c r="L7" t="s">
        <v>12</v>
      </c>
      <c r="M7">
        <v>11.79</v>
      </c>
      <c r="N7">
        <v>29472</v>
      </c>
      <c r="O7">
        <v>16</v>
      </c>
      <c r="P7" t="str">
        <f>IF('Funding Insights'!$D$5="Industry",Table_startup_data_13[[#This Row],[Industry]],Table_startup_data_13[[#This Row],[Region]])</f>
        <v>Gaming</v>
      </c>
    </row>
    <row r="8" spans="1:16" x14ac:dyDescent="0.25">
      <c r="A8" t="s">
        <v>58</v>
      </c>
      <c r="B8" t="s">
        <v>27</v>
      </c>
      <c r="C8">
        <v>2</v>
      </c>
      <c r="D8">
        <v>121870000</v>
      </c>
      <c r="E8">
        <v>1434400000</v>
      </c>
      <c r="F8">
        <v>74620000</v>
      </c>
      <c r="G8">
        <v>4168</v>
      </c>
      <c r="H8">
        <v>1.5699999999999999E-2</v>
      </c>
      <c r="I8" t="b">
        <v>1</v>
      </c>
      <c r="J8">
        <v>2006</v>
      </c>
      <c r="K8" t="s">
        <v>25</v>
      </c>
      <c r="L8" t="s">
        <v>12</v>
      </c>
      <c r="M8">
        <v>11.77</v>
      </c>
      <c r="N8">
        <v>17903</v>
      </c>
      <c r="O8">
        <v>19</v>
      </c>
      <c r="P8" t="str">
        <f>IF('Funding Insights'!$D$5="Industry",Table_startup_data_13[[#This Row],[Industry]],Table_startup_data_13[[#This Row],[Region]])</f>
        <v>HealthTech</v>
      </c>
    </row>
    <row r="9" spans="1:16" x14ac:dyDescent="0.25">
      <c r="A9" t="s">
        <v>65</v>
      </c>
      <c r="B9" t="s">
        <v>31</v>
      </c>
      <c r="C9">
        <v>5</v>
      </c>
      <c r="D9">
        <v>219790000</v>
      </c>
      <c r="E9">
        <v>1646570000</v>
      </c>
      <c r="F9">
        <v>73580000</v>
      </c>
      <c r="G9">
        <v>4921</v>
      </c>
      <c r="H9">
        <v>3.3300000000000003E-2</v>
      </c>
      <c r="I9" t="b">
        <v>0</v>
      </c>
      <c r="J9">
        <v>2004</v>
      </c>
      <c r="K9" t="s">
        <v>25</v>
      </c>
      <c r="L9" t="s">
        <v>12</v>
      </c>
      <c r="M9">
        <v>7.49</v>
      </c>
      <c r="N9">
        <v>14952</v>
      </c>
      <c r="O9">
        <v>21</v>
      </c>
      <c r="P9" t="str">
        <f>IF('Funding Insights'!$D$5="Industry",Table_startup_data_13[[#This Row],[Industry]],Table_startup_data_13[[#This Row],[Region]])</f>
        <v>FinTech</v>
      </c>
    </row>
    <row r="10" spans="1:16" x14ac:dyDescent="0.25">
      <c r="A10" t="s">
        <v>79</v>
      </c>
      <c r="B10" t="s">
        <v>22</v>
      </c>
      <c r="C10">
        <v>1</v>
      </c>
      <c r="D10">
        <v>231410000</v>
      </c>
      <c r="E10">
        <v>2297030000</v>
      </c>
      <c r="F10">
        <v>99110000</v>
      </c>
      <c r="G10">
        <v>363</v>
      </c>
      <c r="H10">
        <v>3.0300000000000001E-2</v>
      </c>
      <c r="I10" t="b">
        <v>1</v>
      </c>
      <c r="J10">
        <v>2013</v>
      </c>
      <c r="K10" t="s">
        <v>25</v>
      </c>
      <c r="L10" t="s">
        <v>12</v>
      </c>
      <c r="M10">
        <v>9.93</v>
      </c>
      <c r="N10">
        <v>273030</v>
      </c>
      <c r="O10">
        <v>12</v>
      </c>
      <c r="P10" t="str">
        <f>IF('Funding Insights'!$D$5="Industry",Table_startup_data_13[[#This Row],[Industry]],Table_startup_data_13[[#This Row],[Region]])</f>
        <v>AI</v>
      </c>
    </row>
    <row r="11" spans="1:16" x14ac:dyDescent="0.25">
      <c r="A11" t="s">
        <v>85</v>
      </c>
      <c r="B11" t="s">
        <v>72</v>
      </c>
      <c r="C11">
        <v>1</v>
      </c>
      <c r="D11">
        <v>183320000</v>
      </c>
      <c r="E11">
        <v>2735140000</v>
      </c>
      <c r="F11">
        <v>97970000</v>
      </c>
      <c r="G11">
        <v>1139</v>
      </c>
      <c r="H11">
        <v>8.8099999999999998E-2</v>
      </c>
      <c r="I11" t="b">
        <v>1</v>
      </c>
      <c r="J11">
        <v>1996</v>
      </c>
      <c r="K11" t="s">
        <v>25</v>
      </c>
      <c r="L11" t="s">
        <v>12</v>
      </c>
      <c r="M11">
        <v>14.92</v>
      </c>
      <c r="N11">
        <v>86014</v>
      </c>
      <c r="O11">
        <v>29</v>
      </c>
      <c r="P11" t="str">
        <f>IF('Funding Insights'!$D$5="Industry",Table_startup_data_13[[#This Row],[Industry]],Table_startup_data_13[[#This Row],[Region]])</f>
        <v>E-Commerce</v>
      </c>
    </row>
    <row r="12" spans="1:16" x14ac:dyDescent="0.25">
      <c r="A12" t="s">
        <v>93</v>
      </c>
      <c r="B12" t="s">
        <v>10</v>
      </c>
      <c r="C12">
        <v>2</v>
      </c>
      <c r="D12">
        <v>49020000</v>
      </c>
      <c r="E12">
        <v>404810000</v>
      </c>
      <c r="F12">
        <v>5710000</v>
      </c>
      <c r="G12">
        <v>4265</v>
      </c>
      <c r="H12">
        <v>8.2699999999999996E-2</v>
      </c>
      <c r="I12" t="b">
        <v>1</v>
      </c>
      <c r="J12">
        <v>1994</v>
      </c>
      <c r="K12" t="s">
        <v>25</v>
      </c>
      <c r="L12" t="s">
        <v>12</v>
      </c>
      <c r="M12">
        <v>8.26</v>
      </c>
      <c r="N12">
        <v>1339</v>
      </c>
      <c r="O12">
        <v>31</v>
      </c>
      <c r="P12" t="str">
        <f>IF('Funding Insights'!$D$5="Industry",Table_startup_data_13[[#This Row],[Industry]],Table_startup_data_13[[#This Row],[Region]])</f>
        <v>IoT</v>
      </c>
    </row>
    <row r="13" spans="1:16" x14ac:dyDescent="0.25">
      <c r="A13" t="s">
        <v>94</v>
      </c>
      <c r="B13" t="s">
        <v>10</v>
      </c>
      <c r="C13">
        <v>4</v>
      </c>
      <c r="D13">
        <v>252540000</v>
      </c>
      <c r="E13">
        <v>3489220000</v>
      </c>
      <c r="F13">
        <v>85290000</v>
      </c>
      <c r="G13">
        <v>1003</v>
      </c>
      <c r="H13">
        <v>5.21E-2</v>
      </c>
      <c r="I13" t="b">
        <v>0</v>
      </c>
      <c r="J13">
        <v>2019</v>
      </c>
      <c r="K13" t="s">
        <v>25</v>
      </c>
      <c r="L13" t="s">
        <v>12</v>
      </c>
      <c r="M13">
        <v>13.82</v>
      </c>
      <c r="N13">
        <v>85035</v>
      </c>
      <c r="O13">
        <v>6</v>
      </c>
      <c r="P13" t="str">
        <f>IF('Funding Insights'!$D$5="Industry",Table_startup_data_13[[#This Row],[Industry]],Table_startup_data_13[[#This Row],[Region]])</f>
        <v>IoT</v>
      </c>
    </row>
    <row r="14" spans="1:16" x14ac:dyDescent="0.25">
      <c r="A14" t="s">
        <v>95</v>
      </c>
      <c r="B14" t="s">
        <v>36</v>
      </c>
      <c r="C14">
        <v>1</v>
      </c>
      <c r="D14">
        <v>254000000</v>
      </c>
      <c r="E14">
        <v>3437810000</v>
      </c>
      <c r="F14">
        <v>22630000</v>
      </c>
      <c r="G14">
        <v>2572</v>
      </c>
      <c r="H14">
        <v>4.6899999999999997E-2</v>
      </c>
      <c r="I14" t="b">
        <v>1</v>
      </c>
      <c r="J14">
        <v>1995</v>
      </c>
      <c r="K14" t="s">
        <v>25</v>
      </c>
      <c r="L14" t="s">
        <v>12</v>
      </c>
      <c r="M14">
        <v>13.53</v>
      </c>
      <c r="N14">
        <v>8799</v>
      </c>
      <c r="O14">
        <v>30</v>
      </c>
      <c r="P14" t="str">
        <f>IF('Funding Insights'!$D$5="Industry",Table_startup_data_13[[#This Row],[Industry]],Table_startup_data_13[[#This Row],[Region]])</f>
        <v>Cybersecurity</v>
      </c>
    </row>
    <row r="15" spans="1:16" x14ac:dyDescent="0.25">
      <c r="A15" t="s">
        <v>97</v>
      </c>
      <c r="B15" t="s">
        <v>22</v>
      </c>
      <c r="C15">
        <v>5</v>
      </c>
      <c r="D15">
        <v>46820000</v>
      </c>
      <c r="E15">
        <v>628640000</v>
      </c>
      <c r="F15">
        <v>46230000</v>
      </c>
      <c r="G15">
        <v>661</v>
      </c>
      <c r="H15">
        <v>2.9700000000000001E-2</v>
      </c>
      <c r="I15" t="b">
        <v>1</v>
      </c>
      <c r="J15">
        <v>2018</v>
      </c>
      <c r="K15" t="s">
        <v>25</v>
      </c>
      <c r="L15" t="s">
        <v>12</v>
      </c>
      <c r="M15">
        <v>13.43</v>
      </c>
      <c r="N15">
        <v>69939</v>
      </c>
      <c r="O15">
        <v>7</v>
      </c>
      <c r="P15" t="str">
        <f>IF('Funding Insights'!$D$5="Industry",Table_startup_data_13[[#This Row],[Industry]],Table_startup_data_13[[#This Row],[Region]])</f>
        <v>AI</v>
      </c>
    </row>
    <row r="16" spans="1:16" x14ac:dyDescent="0.25">
      <c r="A16" t="s">
        <v>112</v>
      </c>
      <c r="B16" t="s">
        <v>27</v>
      </c>
      <c r="C16">
        <v>3</v>
      </c>
      <c r="D16">
        <v>94720000</v>
      </c>
      <c r="E16">
        <v>475620000</v>
      </c>
      <c r="F16">
        <v>92270000</v>
      </c>
      <c r="G16">
        <v>3834</v>
      </c>
      <c r="H16">
        <v>1.9900000000000001E-2</v>
      </c>
      <c r="I16" t="b">
        <v>1</v>
      </c>
      <c r="J16">
        <v>1993</v>
      </c>
      <c r="K16" t="s">
        <v>25</v>
      </c>
      <c r="L16" t="s">
        <v>12</v>
      </c>
      <c r="M16">
        <v>5.0199999999999996</v>
      </c>
      <c r="N16">
        <v>24066</v>
      </c>
      <c r="O16">
        <v>32</v>
      </c>
      <c r="P16" t="str">
        <f>IF('Funding Insights'!$D$5="Industry",Table_startup_data_13[[#This Row],[Industry]],Table_startup_data_13[[#This Row],[Region]])</f>
        <v>HealthTech</v>
      </c>
    </row>
    <row r="17" spans="1:16" x14ac:dyDescent="0.25">
      <c r="A17" t="s">
        <v>119</v>
      </c>
      <c r="B17" t="s">
        <v>72</v>
      </c>
      <c r="C17">
        <v>3</v>
      </c>
      <c r="D17">
        <v>287470000</v>
      </c>
      <c r="E17">
        <v>4016200000</v>
      </c>
      <c r="F17">
        <v>27630000</v>
      </c>
      <c r="G17">
        <v>887</v>
      </c>
      <c r="H17">
        <v>8.9700000000000002E-2</v>
      </c>
      <c r="I17" t="b">
        <v>0</v>
      </c>
      <c r="J17">
        <v>1995</v>
      </c>
      <c r="K17" t="s">
        <v>25</v>
      </c>
      <c r="L17" t="s">
        <v>12</v>
      </c>
      <c r="M17">
        <v>13.97</v>
      </c>
      <c r="N17">
        <v>31150</v>
      </c>
      <c r="O17">
        <v>30</v>
      </c>
      <c r="P17" t="str">
        <f>IF('Funding Insights'!$D$5="Industry",Table_startup_data_13[[#This Row],[Industry]],Table_startup_data_13[[#This Row],[Region]])</f>
        <v>E-Commerce</v>
      </c>
    </row>
    <row r="18" spans="1:16" x14ac:dyDescent="0.25">
      <c r="A18" t="s">
        <v>121</v>
      </c>
      <c r="B18" t="s">
        <v>14</v>
      </c>
      <c r="C18">
        <v>5</v>
      </c>
      <c r="D18">
        <v>191870000</v>
      </c>
      <c r="E18">
        <v>826390000</v>
      </c>
      <c r="F18">
        <v>97490000</v>
      </c>
      <c r="G18">
        <v>4766</v>
      </c>
      <c r="H18">
        <v>2.5999999999999999E-2</v>
      </c>
      <c r="I18" t="b">
        <v>1</v>
      </c>
      <c r="J18">
        <v>1990</v>
      </c>
      <c r="K18" t="s">
        <v>25</v>
      </c>
      <c r="L18" t="s">
        <v>12</v>
      </c>
      <c r="M18">
        <v>4.3099999999999996</v>
      </c>
      <c r="N18">
        <v>20455</v>
      </c>
      <c r="O18">
        <v>35</v>
      </c>
      <c r="P18" t="str">
        <f>IF('Funding Insights'!$D$5="Industry",Table_startup_data_13[[#This Row],[Industry]],Table_startup_data_13[[#This Row],[Region]])</f>
        <v>EdTech</v>
      </c>
    </row>
    <row r="19" spans="1:16" x14ac:dyDescent="0.25">
      <c r="A19" t="s">
        <v>122</v>
      </c>
      <c r="B19" t="s">
        <v>10</v>
      </c>
      <c r="C19">
        <v>5</v>
      </c>
      <c r="D19">
        <v>227830000</v>
      </c>
      <c r="E19">
        <v>1090830000</v>
      </c>
      <c r="F19">
        <v>37180000</v>
      </c>
      <c r="G19">
        <v>2672</v>
      </c>
      <c r="H19">
        <v>2.7900000000000001E-2</v>
      </c>
      <c r="I19" t="b">
        <v>0</v>
      </c>
      <c r="J19">
        <v>2009</v>
      </c>
      <c r="K19" t="s">
        <v>25</v>
      </c>
      <c r="L19" t="s">
        <v>12</v>
      </c>
      <c r="M19">
        <v>4.79</v>
      </c>
      <c r="N19">
        <v>13915</v>
      </c>
      <c r="O19">
        <v>16</v>
      </c>
      <c r="P19" t="str">
        <f>IF('Funding Insights'!$D$5="Industry",Table_startup_data_13[[#This Row],[Industry]],Table_startup_data_13[[#This Row],[Region]])</f>
        <v>IoT</v>
      </c>
    </row>
    <row r="20" spans="1:16" x14ac:dyDescent="0.25">
      <c r="A20" t="s">
        <v>126</v>
      </c>
      <c r="B20" t="s">
        <v>18</v>
      </c>
      <c r="C20">
        <v>2</v>
      </c>
      <c r="D20">
        <v>271060000</v>
      </c>
      <c r="E20">
        <v>2095940000</v>
      </c>
      <c r="F20">
        <v>15720000</v>
      </c>
      <c r="G20">
        <v>1615</v>
      </c>
      <c r="H20">
        <v>4.1200000000000001E-2</v>
      </c>
      <c r="I20" t="b">
        <v>1</v>
      </c>
      <c r="J20">
        <v>1992</v>
      </c>
      <c r="K20" t="s">
        <v>25</v>
      </c>
      <c r="L20" t="s">
        <v>12</v>
      </c>
      <c r="M20">
        <v>7.73</v>
      </c>
      <c r="N20">
        <v>9734</v>
      </c>
      <c r="O20">
        <v>33</v>
      </c>
      <c r="P20" t="str">
        <f>IF('Funding Insights'!$D$5="Industry",Table_startup_data_13[[#This Row],[Industry]],Table_startup_data_13[[#This Row],[Region]])</f>
        <v>Gaming</v>
      </c>
    </row>
    <row r="21" spans="1:16" x14ac:dyDescent="0.25">
      <c r="A21" t="s">
        <v>132</v>
      </c>
      <c r="B21" t="s">
        <v>18</v>
      </c>
      <c r="C21">
        <v>5</v>
      </c>
      <c r="D21">
        <v>176680000</v>
      </c>
      <c r="E21">
        <v>1443540000</v>
      </c>
      <c r="F21">
        <v>31590000</v>
      </c>
      <c r="G21">
        <v>4804</v>
      </c>
      <c r="H21">
        <v>4.2000000000000003E-2</v>
      </c>
      <c r="I21" t="b">
        <v>1</v>
      </c>
      <c r="J21">
        <v>2007</v>
      </c>
      <c r="K21" t="s">
        <v>25</v>
      </c>
      <c r="L21" t="s">
        <v>12</v>
      </c>
      <c r="M21">
        <v>8.17</v>
      </c>
      <c r="N21">
        <v>6576</v>
      </c>
      <c r="O21">
        <v>18</v>
      </c>
      <c r="P21" t="str">
        <f>IF('Funding Insights'!$D$5="Industry",Table_startup_data_13[[#This Row],[Industry]],Table_startup_data_13[[#This Row],[Region]])</f>
        <v>Gaming</v>
      </c>
    </row>
    <row r="22" spans="1:16" x14ac:dyDescent="0.25">
      <c r="A22" t="s">
        <v>149</v>
      </c>
      <c r="B22" t="s">
        <v>14</v>
      </c>
      <c r="C22">
        <v>5</v>
      </c>
      <c r="D22">
        <v>109730000</v>
      </c>
      <c r="E22">
        <v>1274140000</v>
      </c>
      <c r="F22">
        <v>33890000</v>
      </c>
      <c r="G22">
        <v>2389</v>
      </c>
      <c r="H22">
        <v>4.5400000000000003E-2</v>
      </c>
      <c r="I22" t="b">
        <v>1</v>
      </c>
      <c r="J22">
        <v>2000</v>
      </c>
      <c r="K22" t="s">
        <v>25</v>
      </c>
      <c r="L22" t="s">
        <v>12</v>
      </c>
      <c r="M22">
        <v>11.61</v>
      </c>
      <c r="N22">
        <v>14186</v>
      </c>
      <c r="O22">
        <v>25</v>
      </c>
      <c r="P22" t="str">
        <f>IF('Funding Insights'!$D$5="Industry",Table_startup_data_13[[#This Row],[Industry]],Table_startup_data_13[[#This Row],[Region]])</f>
        <v>EdTech</v>
      </c>
    </row>
    <row r="23" spans="1:16" x14ac:dyDescent="0.25">
      <c r="A23" t="s">
        <v>153</v>
      </c>
      <c r="B23" t="s">
        <v>10</v>
      </c>
      <c r="C23">
        <v>5</v>
      </c>
      <c r="D23">
        <v>159310000</v>
      </c>
      <c r="E23">
        <v>1476770000</v>
      </c>
      <c r="F23">
        <v>18380000</v>
      </c>
      <c r="G23">
        <v>2495</v>
      </c>
      <c r="H23">
        <v>8.0500000000000002E-2</v>
      </c>
      <c r="I23" t="b">
        <v>0</v>
      </c>
      <c r="J23">
        <v>2011</v>
      </c>
      <c r="K23" t="s">
        <v>25</v>
      </c>
      <c r="L23" t="s">
        <v>12</v>
      </c>
      <c r="M23">
        <v>9.27</v>
      </c>
      <c r="N23">
        <v>7367</v>
      </c>
      <c r="O23">
        <v>14</v>
      </c>
      <c r="P23" t="str">
        <f>IF('Funding Insights'!$D$5="Industry",Table_startup_data_13[[#This Row],[Industry]],Table_startup_data_13[[#This Row],[Region]])</f>
        <v>IoT</v>
      </c>
    </row>
    <row r="24" spans="1:16" x14ac:dyDescent="0.25">
      <c r="A24" t="s">
        <v>172</v>
      </c>
      <c r="B24" t="s">
        <v>22</v>
      </c>
      <c r="C24">
        <v>1</v>
      </c>
      <c r="D24">
        <v>3340000</v>
      </c>
      <c r="E24">
        <v>41830000</v>
      </c>
      <c r="F24">
        <v>21690000</v>
      </c>
      <c r="G24">
        <v>3740</v>
      </c>
      <c r="H24">
        <v>3.9300000000000002E-2</v>
      </c>
      <c r="I24" t="b">
        <v>0</v>
      </c>
      <c r="J24">
        <v>2004</v>
      </c>
      <c r="K24" t="s">
        <v>25</v>
      </c>
      <c r="L24" t="s">
        <v>12</v>
      </c>
      <c r="M24">
        <v>12.52</v>
      </c>
      <c r="N24">
        <v>5799</v>
      </c>
      <c r="O24">
        <v>21</v>
      </c>
      <c r="P24" t="str">
        <f>IF('Funding Insights'!$D$5="Industry",Table_startup_data_13[[#This Row],[Industry]],Table_startup_data_13[[#This Row],[Region]])</f>
        <v>AI</v>
      </c>
    </row>
    <row r="25" spans="1:16" x14ac:dyDescent="0.25">
      <c r="A25" t="s">
        <v>173</v>
      </c>
      <c r="B25" t="s">
        <v>18</v>
      </c>
      <c r="C25">
        <v>1</v>
      </c>
      <c r="D25">
        <v>16280000</v>
      </c>
      <c r="E25">
        <v>175160000</v>
      </c>
      <c r="F25">
        <v>9850000</v>
      </c>
      <c r="G25">
        <v>700</v>
      </c>
      <c r="H25">
        <v>9.0800000000000006E-2</v>
      </c>
      <c r="I25" t="b">
        <v>0</v>
      </c>
      <c r="J25">
        <v>1997</v>
      </c>
      <c r="K25" t="s">
        <v>25</v>
      </c>
      <c r="L25" t="s">
        <v>12</v>
      </c>
      <c r="M25">
        <v>10.76</v>
      </c>
      <c r="N25">
        <v>14071</v>
      </c>
      <c r="O25">
        <v>28</v>
      </c>
      <c r="P25" t="str">
        <f>IF('Funding Insights'!$D$5="Industry",Table_startup_data_13[[#This Row],[Industry]],Table_startup_data_13[[#This Row],[Region]])</f>
        <v>Gaming</v>
      </c>
    </row>
    <row r="26" spans="1:16" x14ac:dyDescent="0.25">
      <c r="A26" t="s">
        <v>174</v>
      </c>
      <c r="B26" t="s">
        <v>14</v>
      </c>
      <c r="C26">
        <v>3</v>
      </c>
      <c r="D26">
        <v>27020000</v>
      </c>
      <c r="E26">
        <v>137730000</v>
      </c>
      <c r="F26">
        <v>86210000</v>
      </c>
      <c r="G26">
        <v>1314</v>
      </c>
      <c r="H26">
        <v>2.5999999999999999E-3</v>
      </c>
      <c r="I26" t="b">
        <v>0</v>
      </c>
      <c r="J26">
        <v>1996</v>
      </c>
      <c r="K26" t="s">
        <v>25</v>
      </c>
      <c r="L26" t="s">
        <v>12</v>
      </c>
      <c r="M26">
        <v>5.0999999999999996</v>
      </c>
      <c r="N26">
        <v>65609</v>
      </c>
      <c r="O26">
        <v>29</v>
      </c>
      <c r="P26" t="str">
        <f>IF('Funding Insights'!$D$5="Industry",Table_startup_data_13[[#This Row],[Industry]],Table_startup_data_13[[#This Row],[Region]])</f>
        <v>EdTech</v>
      </c>
    </row>
    <row r="27" spans="1:16" x14ac:dyDescent="0.25">
      <c r="A27" t="s">
        <v>184</v>
      </c>
      <c r="B27" t="s">
        <v>31</v>
      </c>
      <c r="C27">
        <v>2</v>
      </c>
      <c r="D27">
        <v>1500000</v>
      </c>
      <c r="E27">
        <v>19070000</v>
      </c>
      <c r="F27">
        <v>34040000</v>
      </c>
      <c r="G27">
        <v>2699</v>
      </c>
      <c r="H27">
        <v>5.3900000000000003E-2</v>
      </c>
      <c r="I27" t="b">
        <v>1</v>
      </c>
      <c r="J27">
        <v>2017</v>
      </c>
      <c r="K27" t="s">
        <v>25</v>
      </c>
      <c r="L27" t="s">
        <v>12</v>
      </c>
      <c r="M27">
        <v>12.71</v>
      </c>
      <c r="N27">
        <v>12612</v>
      </c>
      <c r="O27">
        <v>8</v>
      </c>
      <c r="P27" t="str">
        <f>IF('Funding Insights'!$D$5="Industry",Table_startup_data_13[[#This Row],[Industry]],Table_startup_data_13[[#This Row],[Region]])</f>
        <v>FinTech</v>
      </c>
    </row>
    <row r="28" spans="1:16" x14ac:dyDescent="0.25">
      <c r="A28" t="s">
        <v>190</v>
      </c>
      <c r="B28" t="s">
        <v>14</v>
      </c>
      <c r="C28">
        <v>3</v>
      </c>
      <c r="D28">
        <v>83540000</v>
      </c>
      <c r="E28">
        <v>1122040000</v>
      </c>
      <c r="F28">
        <v>12710000</v>
      </c>
      <c r="G28">
        <v>2963</v>
      </c>
      <c r="H28">
        <v>9.6199999999999994E-2</v>
      </c>
      <c r="I28" t="b">
        <v>1</v>
      </c>
      <c r="J28">
        <v>2003</v>
      </c>
      <c r="K28" t="s">
        <v>25</v>
      </c>
      <c r="L28" t="s">
        <v>12</v>
      </c>
      <c r="M28">
        <v>13.43</v>
      </c>
      <c r="N28">
        <v>4290</v>
      </c>
      <c r="O28">
        <v>22</v>
      </c>
      <c r="P28" t="str">
        <f>IF('Funding Insights'!$D$5="Industry",Table_startup_data_13[[#This Row],[Industry]],Table_startup_data_13[[#This Row],[Region]])</f>
        <v>EdTech</v>
      </c>
    </row>
    <row r="29" spans="1:16" x14ac:dyDescent="0.25">
      <c r="A29" t="s">
        <v>212</v>
      </c>
      <c r="B29" t="s">
        <v>14</v>
      </c>
      <c r="C29">
        <v>4</v>
      </c>
      <c r="D29">
        <v>14560000</v>
      </c>
      <c r="E29">
        <v>102600000</v>
      </c>
      <c r="F29">
        <v>35730000</v>
      </c>
      <c r="G29">
        <v>192</v>
      </c>
      <c r="H29">
        <v>0.02</v>
      </c>
      <c r="I29" t="b">
        <v>0</v>
      </c>
      <c r="J29">
        <v>2012</v>
      </c>
      <c r="K29" t="s">
        <v>25</v>
      </c>
      <c r="L29" t="s">
        <v>12</v>
      </c>
      <c r="M29">
        <v>7.05</v>
      </c>
      <c r="N29">
        <v>186094</v>
      </c>
      <c r="O29">
        <v>13</v>
      </c>
      <c r="P29" t="str">
        <f>IF('Funding Insights'!$D$5="Industry",Table_startup_data_13[[#This Row],[Industry]],Table_startup_data_13[[#This Row],[Region]])</f>
        <v>EdTech</v>
      </c>
    </row>
    <row r="30" spans="1:16" x14ac:dyDescent="0.25">
      <c r="A30" t="s">
        <v>217</v>
      </c>
      <c r="B30" t="s">
        <v>14</v>
      </c>
      <c r="C30">
        <v>2</v>
      </c>
      <c r="D30">
        <v>240330000</v>
      </c>
      <c r="E30">
        <v>2439110000</v>
      </c>
      <c r="F30">
        <v>19660000</v>
      </c>
      <c r="G30">
        <v>3649</v>
      </c>
      <c r="H30">
        <v>6.0900000000000003E-2</v>
      </c>
      <c r="I30" t="b">
        <v>1</v>
      </c>
      <c r="J30">
        <v>2008</v>
      </c>
      <c r="K30" t="s">
        <v>25</v>
      </c>
      <c r="L30" t="s">
        <v>12</v>
      </c>
      <c r="M30">
        <v>10.15</v>
      </c>
      <c r="N30">
        <v>5388</v>
      </c>
      <c r="O30">
        <v>17</v>
      </c>
      <c r="P30" t="str">
        <f>IF('Funding Insights'!$D$5="Industry",Table_startup_data_13[[#This Row],[Industry]],Table_startup_data_13[[#This Row],[Region]])</f>
        <v>EdTech</v>
      </c>
    </row>
    <row r="31" spans="1:16" x14ac:dyDescent="0.25">
      <c r="A31" t="s">
        <v>224</v>
      </c>
      <c r="B31" t="s">
        <v>27</v>
      </c>
      <c r="C31">
        <v>1</v>
      </c>
      <c r="D31">
        <v>154820000</v>
      </c>
      <c r="E31">
        <v>1708470000</v>
      </c>
      <c r="F31">
        <v>36370000</v>
      </c>
      <c r="G31">
        <v>2163</v>
      </c>
      <c r="H31">
        <v>2.1299999999999999E-2</v>
      </c>
      <c r="I31" t="b">
        <v>0</v>
      </c>
      <c r="J31">
        <v>2007</v>
      </c>
      <c r="K31" t="s">
        <v>25</v>
      </c>
      <c r="L31" t="s">
        <v>12</v>
      </c>
      <c r="M31">
        <v>11.04</v>
      </c>
      <c r="N31">
        <v>16815</v>
      </c>
      <c r="O31">
        <v>18</v>
      </c>
      <c r="P31" t="str">
        <f>IF('Funding Insights'!$D$5="Industry",Table_startup_data_13[[#This Row],[Industry]],Table_startup_data_13[[#This Row],[Region]])</f>
        <v>HealthTech</v>
      </c>
    </row>
    <row r="32" spans="1:16" x14ac:dyDescent="0.25">
      <c r="A32" t="s">
        <v>226</v>
      </c>
      <c r="B32" t="s">
        <v>18</v>
      </c>
      <c r="C32">
        <v>4</v>
      </c>
      <c r="D32">
        <v>298900000</v>
      </c>
      <c r="E32">
        <v>3192860000</v>
      </c>
      <c r="F32">
        <v>16970000</v>
      </c>
      <c r="G32">
        <v>2347</v>
      </c>
      <c r="H32">
        <v>9.8199999999999996E-2</v>
      </c>
      <c r="I32" t="b">
        <v>1</v>
      </c>
      <c r="J32">
        <v>2009</v>
      </c>
      <c r="K32" t="s">
        <v>25</v>
      </c>
      <c r="L32" t="s">
        <v>12</v>
      </c>
      <c r="M32">
        <v>10.68</v>
      </c>
      <c r="N32">
        <v>7231</v>
      </c>
      <c r="O32">
        <v>16</v>
      </c>
      <c r="P32" t="str">
        <f>IF('Funding Insights'!$D$5="Industry",Table_startup_data_13[[#This Row],[Industry]],Table_startup_data_13[[#This Row],[Region]])</f>
        <v>Gaming</v>
      </c>
    </row>
    <row r="33" spans="1:16" x14ac:dyDescent="0.25">
      <c r="A33" t="s">
        <v>237</v>
      </c>
      <c r="B33" t="s">
        <v>22</v>
      </c>
      <c r="C33">
        <v>4</v>
      </c>
      <c r="D33">
        <v>143260000</v>
      </c>
      <c r="E33">
        <v>1197110000</v>
      </c>
      <c r="F33">
        <v>11850000</v>
      </c>
      <c r="G33">
        <v>2373</v>
      </c>
      <c r="H33">
        <v>2.0999999999999999E-3</v>
      </c>
      <c r="I33" t="b">
        <v>0</v>
      </c>
      <c r="J33">
        <v>2008</v>
      </c>
      <c r="K33" t="s">
        <v>25</v>
      </c>
      <c r="L33" t="s">
        <v>12</v>
      </c>
      <c r="M33">
        <v>8.36</v>
      </c>
      <c r="N33">
        <v>4994</v>
      </c>
      <c r="O33">
        <v>17</v>
      </c>
      <c r="P33" t="str">
        <f>IF('Funding Insights'!$D$5="Industry",Table_startup_data_13[[#This Row],[Industry]],Table_startup_data_13[[#This Row],[Region]])</f>
        <v>AI</v>
      </c>
    </row>
    <row r="34" spans="1:16" x14ac:dyDescent="0.25">
      <c r="A34" t="s">
        <v>240</v>
      </c>
      <c r="B34" t="s">
        <v>18</v>
      </c>
      <c r="C34">
        <v>3</v>
      </c>
      <c r="D34">
        <v>11110000</v>
      </c>
      <c r="E34">
        <v>45160000</v>
      </c>
      <c r="F34">
        <v>98840000</v>
      </c>
      <c r="G34">
        <v>1561</v>
      </c>
      <c r="H34">
        <v>1.12E-2</v>
      </c>
      <c r="I34" t="b">
        <v>0</v>
      </c>
      <c r="J34">
        <v>2010</v>
      </c>
      <c r="K34" t="s">
        <v>25</v>
      </c>
      <c r="L34" t="s">
        <v>12</v>
      </c>
      <c r="M34">
        <v>4.0599999999999996</v>
      </c>
      <c r="N34">
        <v>63318</v>
      </c>
      <c r="O34">
        <v>15</v>
      </c>
      <c r="P34" t="str">
        <f>IF('Funding Insights'!$D$5="Industry",Table_startup_data_13[[#This Row],[Industry]],Table_startup_data_13[[#This Row],[Region]])</f>
        <v>Gaming</v>
      </c>
    </row>
    <row r="35" spans="1:16" x14ac:dyDescent="0.25">
      <c r="A35" t="s">
        <v>251</v>
      </c>
      <c r="B35" t="s">
        <v>27</v>
      </c>
      <c r="C35">
        <v>1</v>
      </c>
      <c r="D35">
        <v>33290000</v>
      </c>
      <c r="E35">
        <v>289580000</v>
      </c>
      <c r="F35">
        <v>3030000</v>
      </c>
      <c r="G35">
        <v>57</v>
      </c>
      <c r="H35">
        <v>7.4300000000000005E-2</v>
      </c>
      <c r="I35" t="b">
        <v>0</v>
      </c>
      <c r="J35">
        <v>2021</v>
      </c>
      <c r="K35" t="s">
        <v>25</v>
      </c>
      <c r="L35" t="s">
        <v>12</v>
      </c>
      <c r="M35">
        <v>8.6999999999999993</v>
      </c>
      <c r="N35">
        <v>53158</v>
      </c>
      <c r="O35">
        <v>4</v>
      </c>
      <c r="P35" t="str">
        <f>IF('Funding Insights'!$D$5="Industry",Table_startup_data_13[[#This Row],[Industry]],Table_startup_data_13[[#This Row],[Region]])</f>
        <v>HealthTech</v>
      </c>
    </row>
    <row r="36" spans="1:16" x14ac:dyDescent="0.25">
      <c r="A36" t="s">
        <v>252</v>
      </c>
      <c r="B36" t="s">
        <v>27</v>
      </c>
      <c r="C36">
        <v>2</v>
      </c>
      <c r="D36">
        <v>268400000</v>
      </c>
      <c r="E36">
        <v>2037240000</v>
      </c>
      <c r="F36">
        <v>82310000</v>
      </c>
      <c r="G36">
        <v>2312</v>
      </c>
      <c r="H36">
        <v>6.3399999999999998E-2</v>
      </c>
      <c r="I36" t="b">
        <v>1</v>
      </c>
      <c r="J36">
        <v>2005</v>
      </c>
      <c r="K36" t="s">
        <v>25</v>
      </c>
      <c r="L36" t="s">
        <v>12</v>
      </c>
      <c r="M36">
        <v>7.59</v>
      </c>
      <c r="N36">
        <v>35601</v>
      </c>
      <c r="O36">
        <v>20</v>
      </c>
      <c r="P36" t="str">
        <f>IF('Funding Insights'!$D$5="Industry",Table_startup_data_13[[#This Row],[Industry]],Table_startup_data_13[[#This Row],[Region]])</f>
        <v>HealthTech</v>
      </c>
    </row>
    <row r="37" spans="1:16" x14ac:dyDescent="0.25">
      <c r="A37" t="s">
        <v>254</v>
      </c>
      <c r="B37" t="s">
        <v>72</v>
      </c>
      <c r="C37">
        <v>2</v>
      </c>
      <c r="D37">
        <v>18920000</v>
      </c>
      <c r="E37">
        <v>277930000</v>
      </c>
      <c r="F37">
        <v>37960000</v>
      </c>
      <c r="G37">
        <v>1040</v>
      </c>
      <c r="H37">
        <v>6.93E-2</v>
      </c>
      <c r="I37" t="b">
        <v>0</v>
      </c>
      <c r="J37">
        <v>2020</v>
      </c>
      <c r="K37" t="s">
        <v>25</v>
      </c>
      <c r="L37" t="s">
        <v>12</v>
      </c>
      <c r="M37">
        <v>14.69</v>
      </c>
      <c r="N37">
        <v>36500</v>
      </c>
      <c r="O37">
        <v>5</v>
      </c>
      <c r="P37" t="str">
        <f>IF('Funding Insights'!$D$5="Industry",Table_startup_data_13[[#This Row],[Industry]],Table_startup_data_13[[#This Row],[Region]])</f>
        <v>E-Commerce</v>
      </c>
    </row>
    <row r="38" spans="1:16" x14ac:dyDescent="0.25">
      <c r="A38" t="s">
        <v>256</v>
      </c>
      <c r="B38" t="s">
        <v>22</v>
      </c>
      <c r="C38">
        <v>5</v>
      </c>
      <c r="D38">
        <v>155070000</v>
      </c>
      <c r="E38">
        <v>1836980000</v>
      </c>
      <c r="F38">
        <v>33750000</v>
      </c>
      <c r="G38">
        <v>4050</v>
      </c>
      <c r="H38">
        <v>5.9900000000000002E-2</v>
      </c>
      <c r="I38" t="b">
        <v>0</v>
      </c>
      <c r="J38">
        <v>1990</v>
      </c>
      <c r="K38" t="s">
        <v>25</v>
      </c>
      <c r="L38" t="s">
        <v>12</v>
      </c>
      <c r="M38">
        <v>11.85</v>
      </c>
      <c r="N38">
        <v>8333</v>
      </c>
      <c r="O38">
        <v>35</v>
      </c>
      <c r="P38" t="str">
        <f>IF('Funding Insights'!$D$5="Industry",Table_startup_data_13[[#This Row],[Industry]],Table_startup_data_13[[#This Row],[Region]])</f>
        <v>AI</v>
      </c>
    </row>
    <row r="39" spans="1:16" x14ac:dyDescent="0.25">
      <c r="A39" t="s">
        <v>257</v>
      </c>
      <c r="B39" t="s">
        <v>22</v>
      </c>
      <c r="C39">
        <v>4</v>
      </c>
      <c r="D39">
        <v>272000000</v>
      </c>
      <c r="E39">
        <v>3324710000</v>
      </c>
      <c r="F39">
        <v>29720000</v>
      </c>
      <c r="G39">
        <v>4950</v>
      </c>
      <c r="H39">
        <v>1.7999999999999999E-2</v>
      </c>
      <c r="I39" t="b">
        <v>1</v>
      </c>
      <c r="J39">
        <v>2000</v>
      </c>
      <c r="K39" t="s">
        <v>25</v>
      </c>
      <c r="L39" t="s">
        <v>12</v>
      </c>
      <c r="M39">
        <v>12.22</v>
      </c>
      <c r="N39">
        <v>6004</v>
      </c>
      <c r="O39">
        <v>25</v>
      </c>
      <c r="P39" t="str">
        <f>IF('Funding Insights'!$D$5="Industry",Table_startup_data_13[[#This Row],[Industry]],Table_startup_data_13[[#This Row],[Region]])</f>
        <v>AI</v>
      </c>
    </row>
    <row r="40" spans="1:16" x14ac:dyDescent="0.25">
      <c r="A40" t="s">
        <v>260</v>
      </c>
      <c r="B40" t="s">
        <v>27</v>
      </c>
      <c r="C40">
        <v>4</v>
      </c>
      <c r="D40">
        <v>163360000</v>
      </c>
      <c r="E40">
        <v>672250000</v>
      </c>
      <c r="F40">
        <v>75980000</v>
      </c>
      <c r="G40">
        <v>1889</v>
      </c>
      <c r="H40">
        <v>4.36E-2</v>
      </c>
      <c r="I40" t="b">
        <v>0</v>
      </c>
      <c r="J40">
        <v>1996</v>
      </c>
      <c r="K40" t="s">
        <v>25</v>
      </c>
      <c r="L40" t="s">
        <v>12</v>
      </c>
      <c r="M40">
        <v>4.12</v>
      </c>
      <c r="N40">
        <v>40222</v>
      </c>
      <c r="O40">
        <v>29</v>
      </c>
      <c r="P40" t="str">
        <f>IF('Funding Insights'!$D$5="Industry",Table_startup_data_13[[#This Row],[Industry]],Table_startup_data_13[[#This Row],[Region]])</f>
        <v>HealthTech</v>
      </c>
    </row>
    <row r="41" spans="1:16" x14ac:dyDescent="0.25">
      <c r="A41" t="s">
        <v>261</v>
      </c>
      <c r="B41" t="s">
        <v>72</v>
      </c>
      <c r="C41">
        <v>3</v>
      </c>
      <c r="D41">
        <v>259420000</v>
      </c>
      <c r="E41">
        <v>1578460000</v>
      </c>
      <c r="F41">
        <v>98810000</v>
      </c>
      <c r="G41">
        <v>1814</v>
      </c>
      <c r="H41">
        <v>6.9900000000000004E-2</v>
      </c>
      <c r="I41" t="b">
        <v>1</v>
      </c>
      <c r="J41">
        <v>2015</v>
      </c>
      <c r="K41" t="s">
        <v>25</v>
      </c>
      <c r="L41" t="s">
        <v>12</v>
      </c>
      <c r="M41">
        <v>6.08</v>
      </c>
      <c r="N41">
        <v>54471</v>
      </c>
      <c r="O41">
        <v>10</v>
      </c>
      <c r="P41" t="str">
        <f>IF('Funding Insights'!$D$5="Industry",Table_startup_data_13[[#This Row],[Industry]],Table_startup_data_13[[#This Row],[Region]])</f>
        <v>E-Commerce</v>
      </c>
    </row>
    <row r="42" spans="1:16" x14ac:dyDescent="0.25">
      <c r="A42" t="s">
        <v>274</v>
      </c>
      <c r="B42" t="s">
        <v>31</v>
      </c>
      <c r="C42">
        <v>3</v>
      </c>
      <c r="D42">
        <v>264550000</v>
      </c>
      <c r="E42">
        <v>2411820000</v>
      </c>
      <c r="F42">
        <v>90550000</v>
      </c>
      <c r="G42">
        <v>823</v>
      </c>
      <c r="H42">
        <v>1.1999999999999999E-3</v>
      </c>
      <c r="I42" t="b">
        <v>1</v>
      </c>
      <c r="J42">
        <v>1993</v>
      </c>
      <c r="K42" t="s">
        <v>25</v>
      </c>
      <c r="L42" t="s">
        <v>12</v>
      </c>
      <c r="M42">
        <v>9.1199999999999992</v>
      </c>
      <c r="N42">
        <v>110024</v>
      </c>
      <c r="O42">
        <v>32</v>
      </c>
      <c r="P42" t="str">
        <f>IF('Funding Insights'!$D$5="Industry",Table_startup_data_13[[#This Row],[Industry]],Table_startup_data_13[[#This Row],[Region]])</f>
        <v>FinTech</v>
      </c>
    </row>
    <row r="43" spans="1:16" x14ac:dyDescent="0.25">
      <c r="A43" t="s">
        <v>278</v>
      </c>
      <c r="B43" t="s">
        <v>31</v>
      </c>
      <c r="C43">
        <v>5</v>
      </c>
      <c r="D43">
        <v>2040000</v>
      </c>
      <c r="E43">
        <v>27500000</v>
      </c>
      <c r="F43">
        <v>43610000</v>
      </c>
      <c r="G43">
        <v>202</v>
      </c>
      <c r="H43">
        <v>6.1600000000000002E-2</v>
      </c>
      <c r="I43" t="b">
        <v>1</v>
      </c>
      <c r="J43">
        <v>2000</v>
      </c>
      <c r="K43" t="s">
        <v>25</v>
      </c>
      <c r="L43" t="s">
        <v>12</v>
      </c>
      <c r="M43">
        <v>13.48</v>
      </c>
      <c r="N43">
        <v>215891</v>
      </c>
      <c r="O43">
        <v>25</v>
      </c>
      <c r="P43" t="str">
        <f>IF('Funding Insights'!$D$5="Industry",Table_startup_data_13[[#This Row],[Industry]],Table_startup_data_13[[#This Row],[Region]])</f>
        <v>FinTech</v>
      </c>
    </row>
    <row r="44" spans="1:16" x14ac:dyDescent="0.25">
      <c r="A44" t="s">
        <v>291</v>
      </c>
      <c r="B44" t="s">
        <v>14</v>
      </c>
      <c r="C44">
        <v>3</v>
      </c>
      <c r="D44">
        <v>113320000</v>
      </c>
      <c r="E44">
        <v>532080000</v>
      </c>
      <c r="F44">
        <v>65560000</v>
      </c>
      <c r="G44">
        <v>933</v>
      </c>
      <c r="H44">
        <v>2.2800000000000001E-2</v>
      </c>
      <c r="I44" t="b">
        <v>0</v>
      </c>
      <c r="J44">
        <v>1999</v>
      </c>
      <c r="K44" t="s">
        <v>25</v>
      </c>
      <c r="L44" t="s">
        <v>12</v>
      </c>
      <c r="M44">
        <v>4.7</v>
      </c>
      <c r="N44">
        <v>70268</v>
      </c>
      <c r="O44">
        <v>26</v>
      </c>
      <c r="P44" t="str">
        <f>IF('Funding Insights'!$D$5="Industry",Table_startup_data_13[[#This Row],[Industry]],Table_startup_data_13[[#This Row],[Region]])</f>
        <v>EdTech</v>
      </c>
    </row>
    <row r="45" spans="1:16" x14ac:dyDescent="0.25">
      <c r="A45" t="s">
        <v>298</v>
      </c>
      <c r="B45" t="s">
        <v>72</v>
      </c>
      <c r="C45">
        <v>3</v>
      </c>
      <c r="D45">
        <v>252120000</v>
      </c>
      <c r="E45">
        <v>3652680000</v>
      </c>
      <c r="F45">
        <v>36100000</v>
      </c>
      <c r="G45">
        <v>4633</v>
      </c>
      <c r="H45">
        <v>7.4499999999999997E-2</v>
      </c>
      <c r="I45" t="b">
        <v>1</v>
      </c>
      <c r="J45">
        <v>2005</v>
      </c>
      <c r="K45" t="s">
        <v>25</v>
      </c>
      <c r="L45" t="s">
        <v>12</v>
      </c>
      <c r="M45">
        <v>14.49</v>
      </c>
      <c r="N45">
        <v>7792</v>
      </c>
      <c r="O45">
        <v>20</v>
      </c>
      <c r="P45" t="str">
        <f>IF('Funding Insights'!$D$5="Industry",Table_startup_data_13[[#This Row],[Industry]],Table_startup_data_13[[#This Row],[Region]])</f>
        <v>E-Commerce</v>
      </c>
    </row>
    <row r="46" spans="1:16" x14ac:dyDescent="0.25">
      <c r="A46" t="s">
        <v>314</v>
      </c>
      <c r="B46" t="s">
        <v>10</v>
      </c>
      <c r="C46">
        <v>5</v>
      </c>
      <c r="D46">
        <v>202980000</v>
      </c>
      <c r="E46">
        <v>1841700000</v>
      </c>
      <c r="F46">
        <v>22750000</v>
      </c>
      <c r="G46">
        <v>2083</v>
      </c>
      <c r="H46">
        <v>8.2000000000000003E-2</v>
      </c>
      <c r="I46" t="b">
        <v>1</v>
      </c>
      <c r="J46">
        <v>2016</v>
      </c>
      <c r="K46" t="s">
        <v>25</v>
      </c>
      <c r="L46" t="s">
        <v>12</v>
      </c>
      <c r="M46">
        <v>9.07</v>
      </c>
      <c r="N46">
        <v>10922</v>
      </c>
      <c r="O46">
        <v>9</v>
      </c>
      <c r="P46" t="str">
        <f>IF('Funding Insights'!$D$5="Industry",Table_startup_data_13[[#This Row],[Industry]],Table_startup_data_13[[#This Row],[Region]])</f>
        <v>IoT</v>
      </c>
    </row>
    <row r="47" spans="1:16" x14ac:dyDescent="0.25">
      <c r="A47" t="s">
        <v>315</v>
      </c>
      <c r="B47" t="s">
        <v>36</v>
      </c>
      <c r="C47">
        <v>3</v>
      </c>
      <c r="D47">
        <v>134060000</v>
      </c>
      <c r="E47">
        <v>776290000</v>
      </c>
      <c r="F47">
        <v>38220000</v>
      </c>
      <c r="G47">
        <v>4749</v>
      </c>
      <c r="H47">
        <v>6.0000000000000001E-3</v>
      </c>
      <c r="I47" t="b">
        <v>0</v>
      </c>
      <c r="J47">
        <v>1991</v>
      </c>
      <c r="K47" t="s">
        <v>25</v>
      </c>
      <c r="L47" t="s">
        <v>12</v>
      </c>
      <c r="M47">
        <v>5.79</v>
      </c>
      <c r="N47">
        <v>8048</v>
      </c>
      <c r="O47">
        <v>34</v>
      </c>
      <c r="P47" t="str">
        <f>IF('Funding Insights'!$D$5="Industry",Table_startup_data_13[[#This Row],[Industry]],Table_startup_data_13[[#This Row],[Region]])</f>
        <v>Cybersecurity</v>
      </c>
    </row>
    <row r="48" spans="1:16" x14ac:dyDescent="0.25">
      <c r="A48" t="s">
        <v>326</v>
      </c>
      <c r="B48" t="s">
        <v>36</v>
      </c>
      <c r="C48">
        <v>1</v>
      </c>
      <c r="D48">
        <v>140830000</v>
      </c>
      <c r="E48">
        <v>1440780000</v>
      </c>
      <c r="F48">
        <v>97280000</v>
      </c>
      <c r="G48">
        <v>166</v>
      </c>
      <c r="H48">
        <v>5.9900000000000002E-2</v>
      </c>
      <c r="I48" t="b">
        <v>1</v>
      </c>
      <c r="J48">
        <v>1999</v>
      </c>
      <c r="K48" t="s">
        <v>25</v>
      </c>
      <c r="L48" t="s">
        <v>12</v>
      </c>
      <c r="M48">
        <v>10.23</v>
      </c>
      <c r="N48">
        <v>586024</v>
      </c>
      <c r="O48">
        <v>26</v>
      </c>
      <c r="P48" t="str">
        <f>IF('Funding Insights'!$D$5="Industry",Table_startup_data_13[[#This Row],[Industry]],Table_startup_data_13[[#This Row],[Region]])</f>
        <v>Cybersecurity</v>
      </c>
    </row>
    <row r="49" spans="1:16" x14ac:dyDescent="0.25">
      <c r="A49" t="s">
        <v>330</v>
      </c>
      <c r="B49" t="s">
        <v>72</v>
      </c>
      <c r="C49">
        <v>1</v>
      </c>
      <c r="D49">
        <v>158340000</v>
      </c>
      <c r="E49">
        <v>839420000</v>
      </c>
      <c r="F49">
        <v>98180000</v>
      </c>
      <c r="G49">
        <v>944</v>
      </c>
      <c r="H49">
        <v>3.8899999999999997E-2</v>
      </c>
      <c r="I49" t="b">
        <v>0</v>
      </c>
      <c r="J49">
        <v>2003</v>
      </c>
      <c r="K49" t="s">
        <v>25</v>
      </c>
      <c r="L49" t="s">
        <v>12</v>
      </c>
      <c r="M49">
        <v>5.3</v>
      </c>
      <c r="N49">
        <v>104004</v>
      </c>
      <c r="O49">
        <v>22</v>
      </c>
      <c r="P49" t="str">
        <f>IF('Funding Insights'!$D$5="Industry",Table_startup_data_13[[#This Row],[Industry]],Table_startup_data_13[[#This Row],[Region]])</f>
        <v>E-Commerce</v>
      </c>
    </row>
    <row r="50" spans="1:16" x14ac:dyDescent="0.25">
      <c r="A50" t="s">
        <v>338</v>
      </c>
      <c r="B50" t="s">
        <v>72</v>
      </c>
      <c r="C50">
        <v>4</v>
      </c>
      <c r="D50">
        <v>288990000</v>
      </c>
      <c r="E50">
        <v>1125780000</v>
      </c>
      <c r="F50">
        <v>12110000</v>
      </c>
      <c r="G50">
        <v>239</v>
      </c>
      <c r="H50">
        <v>2.9899999999999999E-2</v>
      </c>
      <c r="I50" t="b">
        <v>1</v>
      </c>
      <c r="J50">
        <v>2021</v>
      </c>
      <c r="K50" t="s">
        <v>25</v>
      </c>
      <c r="L50" t="s">
        <v>12</v>
      </c>
      <c r="M50">
        <v>3.9</v>
      </c>
      <c r="N50">
        <v>50669</v>
      </c>
      <c r="O50">
        <v>4</v>
      </c>
      <c r="P50" t="str">
        <f>IF('Funding Insights'!$D$5="Industry",Table_startup_data_13[[#This Row],[Industry]],Table_startup_data_13[[#This Row],[Region]])</f>
        <v>E-Commerce</v>
      </c>
    </row>
    <row r="51" spans="1:16" x14ac:dyDescent="0.25">
      <c r="A51" t="s">
        <v>339</v>
      </c>
      <c r="B51" t="s">
        <v>72</v>
      </c>
      <c r="C51">
        <v>5</v>
      </c>
      <c r="D51">
        <v>9880000</v>
      </c>
      <c r="E51">
        <v>122440000</v>
      </c>
      <c r="F51">
        <v>6930000</v>
      </c>
      <c r="G51">
        <v>1553</v>
      </c>
      <c r="H51">
        <v>7.7299999999999994E-2</v>
      </c>
      <c r="I51" t="b">
        <v>1</v>
      </c>
      <c r="J51">
        <v>2022</v>
      </c>
      <c r="K51" t="s">
        <v>25</v>
      </c>
      <c r="L51" t="s">
        <v>12</v>
      </c>
      <c r="M51">
        <v>12.39</v>
      </c>
      <c r="N51">
        <v>4462</v>
      </c>
      <c r="O51">
        <v>3</v>
      </c>
      <c r="P51" t="str">
        <f>IF('Funding Insights'!$D$5="Industry",Table_startup_data_13[[#This Row],[Industry]],Table_startup_data_13[[#This Row],[Region]])</f>
        <v>E-Commerce</v>
      </c>
    </row>
    <row r="52" spans="1:16" x14ac:dyDescent="0.25">
      <c r="A52" t="s">
        <v>343</v>
      </c>
      <c r="B52" t="s">
        <v>72</v>
      </c>
      <c r="C52">
        <v>4</v>
      </c>
      <c r="D52">
        <v>289370000</v>
      </c>
      <c r="E52">
        <v>3014260000</v>
      </c>
      <c r="F52">
        <v>28450000</v>
      </c>
      <c r="G52">
        <v>1678</v>
      </c>
      <c r="H52">
        <v>3.4000000000000002E-2</v>
      </c>
      <c r="I52" t="b">
        <v>1</v>
      </c>
      <c r="J52">
        <v>2012</v>
      </c>
      <c r="K52" t="s">
        <v>25</v>
      </c>
      <c r="L52" t="s">
        <v>12</v>
      </c>
      <c r="M52">
        <v>10.42</v>
      </c>
      <c r="N52">
        <v>16955</v>
      </c>
      <c r="O52">
        <v>13</v>
      </c>
      <c r="P52" t="str">
        <f>IF('Funding Insights'!$D$5="Industry",Table_startup_data_13[[#This Row],[Industry]],Table_startup_data_13[[#This Row],[Region]])</f>
        <v>E-Commerce</v>
      </c>
    </row>
    <row r="53" spans="1:16" x14ac:dyDescent="0.25">
      <c r="A53" t="s">
        <v>344</v>
      </c>
      <c r="B53" t="s">
        <v>22</v>
      </c>
      <c r="C53">
        <v>5</v>
      </c>
      <c r="D53">
        <v>228150000</v>
      </c>
      <c r="E53">
        <v>2418000000</v>
      </c>
      <c r="F53">
        <v>82470000</v>
      </c>
      <c r="G53">
        <v>2105</v>
      </c>
      <c r="H53">
        <v>8.6699999999999999E-2</v>
      </c>
      <c r="I53" t="b">
        <v>1</v>
      </c>
      <c r="J53">
        <v>2021</v>
      </c>
      <c r="K53" t="s">
        <v>25</v>
      </c>
      <c r="L53" t="s">
        <v>12</v>
      </c>
      <c r="M53">
        <v>10.6</v>
      </c>
      <c r="N53">
        <v>39178</v>
      </c>
      <c r="O53">
        <v>4</v>
      </c>
      <c r="P53" t="str">
        <f>IF('Funding Insights'!$D$5="Industry",Table_startup_data_13[[#This Row],[Industry]],Table_startup_data_13[[#This Row],[Region]])</f>
        <v>AI</v>
      </c>
    </row>
    <row r="54" spans="1:16" x14ac:dyDescent="0.25">
      <c r="A54" t="s">
        <v>347</v>
      </c>
      <c r="B54" t="s">
        <v>36</v>
      </c>
      <c r="C54">
        <v>5</v>
      </c>
      <c r="D54">
        <v>96560000</v>
      </c>
      <c r="E54">
        <v>545530000</v>
      </c>
      <c r="F54">
        <v>73050000</v>
      </c>
      <c r="G54">
        <v>3601</v>
      </c>
      <c r="H54">
        <v>4.4999999999999997E-3</v>
      </c>
      <c r="I54" t="b">
        <v>0</v>
      </c>
      <c r="J54">
        <v>1993</v>
      </c>
      <c r="K54" t="s">
        <v>25</v>
      </c>
      <c r="L54" t="s">
        <v>12</v>
      </c>
      <c r="M54">
        <v>5.65</v>
      </c>
      <c r="N54">
        <v>20286</v>
      </c>
      <c r="O54">
        <v>32</v>
      </c>
      <c r="P54" t="str">
        <f>IF('Funding Insights'!$D$5="Industry",Table_startup_data_13[[#This Row],[Industry]],Table_startup_data_13[[#This Row],[Region]])</f>
        <v>Cybersecurity</v>
      </c>
    </row>
    <row r="55" spans="1:16" x14ac:dyDescent="0.25">
      <c r="A55" t="s">
        <v>349</v>
      </c>
      <c r="B55" t="s">
        <v>18</v>
      </c>
      <c r="C55">
        <v>3</v>
      </c>
      <c r="D55">
        <v>223880000</v>
      </c>
      <c r="E55">
        <v>2433280000</v>
      </c>
      <c r="F55">
        <v>6540000</v>
      </c>
      <c r="G55">
        <v>3178</v>
      </c>
      <c r="H55">
        <v>4.1700000000000001E-2</v>
      </c>
      <c r="I55" t="b">
        <v>1</v>
      </c>
      <c r="J55">
        <v>2003</v>
      </c>
      <c r="K55" t="s">
        <v>25</v>
      </c>
      <c r="L55" t="s">
        <v>12</v>
      </c>
      <c r="M55">
        <v>10.87</v>
      </c>
      <c r="N55">
        <v>2058</v>
      </c>
      <c r="O55">
        <v>22</v>
      </c>
      <c r="P55" t="str">
        <f>IF('Funding Insights'!$D$5="Industry",Table_startup_data_13[[#This Row],[Industry]],Table_startup_data_13[[#This Row],[Region]])</f>
        <v>Gaming</v>
      </c>
    </row>
    <row r="56" spans="1:16" x14ac:dyDescent="0.25">
      <c r="A56" t="s">
        <v>353</v>
      </c>
      <c r="B56" t="s">
        <v>10</v>
      </c>
      <c r="C56">
        <v>2</v>
      </c>
      <c r="D56">
        <v>169040000</v>
      </c>
      <c r="E56">
        <v>1328250000</v>
      </c>
      <c r="F56">
        <v>34110000</v>
      </c>
      <c r="G56">
        <v>4498</v>
      </c>
      <c r="H56">
        <v>5.04E-2</v>
      </c>
      <c r="I56" t="b">
        <v>1</v>
      </c>
      <c r="J56">
        <v>2001</v>
      </c>
      <c r="K56" t="s">
        <v>25</v>
      </c>
      <c r="L56" t="s">
        <v>12</v>
      </c>
      <c r="M56">
        <v>7.86</v>
      </c>
      <c r="N56">
        <v>7583</v>
      </c>
      <c r="O56">
        <v>24</v>
      </c>
      <c r="P56" t="str">
        <f>IF('Funding Insights'!$D$5="Industry",Table_startup_data_13[[#This Row],[Industry]],Table_startup_data_13[[#This Row],[Region]])</f>
        <v>IoT</v>
      </c>
    </row>
    <row r="57" spans="1:16" x14ac:dyDescent="0.25">
      <c r="A57" t="s">
        <v>356</v>
      </c>
      <c r="B57" t="s">
        <v>14</v>
      </c>
      <c r="C57">
        <v>2</v>
      </c>
      <c r="D57">
        <v>48190000</v>
      </c>
      <c r="E57">
        <v>448460000</v>
      </c>
      <c r="F57">
        <v>53180000</v>
      </c>
      <c r="G57">
        <v>2163</v>
      </c>
      <c r="H57">
        <v>7.8600000000000003E-2</v>
      </c>
      <c r="I57" t="b">
        <v>1</v>
      </c>
      <c r="J57">
        <v>2012</v>
      </c>
      <c r="K57" t="s">
        <v>25</v>
      </c>
      <c r="L57" t="s">
        <v>12</v>
      </c>
      <c r="M57">
        <v>9.31</v>
      </c>
      <c r="N57">
        <v>24586</v>
      </c>
      <c r="O57">
        <v>13</v>
      </c>
      <c r="P57" t="str">
        <f>IF('Funding Insights'!$D$5="Industry",Table_startup_data_13[[#This Row],[Industry]],Table_startup_data_13[[#This Row],[Region]])</f>
        <v>EdTech</v>
      </c>
    </row>
    <row r="58" spans="1:16" x14ac:dyDescent="0.25">
      <c r="A58" t="s">
        <v>357</v>
      </c>
      <c r="B58" t="s">
        <v>27</v>
      </c>
      <c r="C58">
        <v>1</v>
      </c>
      <c r="D58">
        <v>61510000</v>
      </c>
      <c r="E58">
        <v>540030000</v>
      </c>
      <c r="F58">
        <v>83830000</v>
      </c>
      <c r="G58">
        <v>2666</v>
      </c>
      <c r="H58">
        <v>4.2500000000000003E-2</v>
      </c>
      <c r="I58" t="b">
        <v>0</v>
      </c>
      <c r="J58">
        <v>2003</v>
      </c>
      <c r="K58" t="s">
        <v>25</v>
      </c>
      <c r="L58" t="s">
        <v>12</v>
      </c>
      <c r="M58">
        <v>8.7799999999999994</v>
      </c>
      <c r="N58">
        <v>31444</v>
      </c>
      <c r="O58">
        <v>22</v>
      </c>
      <c r="P58" t="str">
        <f>IF('Funding Insights'!$D$5="Industry",Table_startup_data_13[[#This Row],[Industry]],Table_startup_data_13[[#This Row],[Region]])</f>
        <v>HealthTech</v>
      </c>
    </row>
    <row r="59" spans="1:16" x14ac:dyDescent="0.25">
      <c r="A59" t="s">
        <v>359</v>
      </c>
      <c r="B59" t="s">
        <v>22</v>
      </c>
      <c r="C59">
        <v>4</v>
      </c>
      <c r="D59">
        <v>46520000</v>
      </c>
      <c r="E59">
        <v>355640000</v>
      </c>
      <c r="F59">
        <v>42980000</v>
      </c>
      <c r="G59">
        <v>3856</v>
      </c>
      <c r="H59">
        <v>7.8700000000000006E-2</v>
      </c>
      <c r="I59" t="b">
        <v>0</v>
      </c>
      <c r="J59">
        <v>2021</v>
      </c>
      <c r="K59" t="s">
        <v>25</v>
      </c>
      <c r="L59" t="s">
        <v>12</v>
      </c>
      <c r="M59">
        <v>7.64</v>
      </c>
      <c r="N59">
        <v>11146</v>
      </c>
      <c r="O59">
        <v>4</v>
      </c>
      <c r="P59" t="str">
        <f>IF('Funding Insights'!$D$5="Industry",Table_startup_data_13[[#This Row],[Industry]],Table_startup_data_13[[#This Row],[Region]])</f>
        <v>AI</v>
      </c>
    </row>
    <row r="60" spans="1:16" x14ac:dyDescent="0.25">
      <c r="A60" t="s">
        <v>363</v>
      </c>
      <c r="B60" t="s">
        <v>72</v>
      </c>
      <c r="C60">
        <v>5</v>
      </c>
      <c r="D60">
        <v>239140000</v>
      </c>
      <c r="E60">
        <v>1918610000</v>
      </c>
      <c r="F60">
        <v>65920000</v>
      </c>
      <c r="G60">
        <v>4271</v>
      </c>
      <c r="H60">
        <v>4.1399999999999999E-2</v>
      </c>
      <c r="I60" t="b">
        <v>0</v>
      </c>
      <c r="J60">
        <v>2016</v>
      </c>
      <c r="K60" t="s">
        <v>25</v>
      </c>
      <c r="L60" t="s">
        <v>12</v>
      </c>
      <c r="M60">
        <v>8.02</v>
      </c>
      <c r="N60">
        <v>15434</v>
      </c>
      <c r="O60">
        <v>9</v>
      </c>
      <c r="P60" t="str">
        <f>IF('Funding Insights'!$D$5="Industry",Table_startup_data_13[[#This Row],[Industry]],Table_startup_data_13[[#This Row],[Region]])</f>
        <v>E-Commerce</v>
      </c>
    </row>
    <row r="61" spans="1:16" x14ac:dyDescent="0.25">
      <c r="A61" t="s">
        <v>370</v>
      </c>
      <c r="B61" t="s">
        <v>14</v>
      </c>
      <c r="C61">
        <v>3</v>
      </c>
      <c r="D61">
        <v>179700000</v>
      </c>
      <c r="E61">
        <v>2338190000</v>
      </c>
      <c r="F61">
        <v>86870000</v>
      </c>
      <c r="G61">
        <v>4219</v>
      </c>
      <c r="H61">
        <v>4.1500000000000002E-2</v>
      </c>
      <c r="I61" t="b">
        <v>0</v>
      </c>
      <c r="J61">
        <v>2017</v>
      </c>
      <c r="K61" t="s">
        <v>25</v>
      </c>
      <c r="L61" t="s">
        <v>12</v>
      </c>
      <c r="M61">
        <v>13.01</v>
      </c>
      <c r="N61">
        <v>20590</v>
      </c>
      <c r="O61">
        <v>8</v>
      </c>
      <c r="P61" t="str">
        <f>IF('Funding Insights'!$D$5="Industry",Table_startup_data_13[[#This Row],[Industry]],Table_startup_data_13[[#This Row],[Region]])</f>
        <v>EdTech</v>
      </c>
    </row>
    <row r="62" spans="1:16" x14ac:dyDescent="0.25">
      <c r="A62" t="s">
        <v>371</v>
      </c>
      <c r="B62" t="s">
        <v>31</v>
      </c>
      <c r="C62">
        <v>3</v>
      </c>
      <c r="D62">
        <v>182390000</v>
      </c>
      <c r="E62">
        <v>1924500000</v>
      </c>
      <c r="F62">
        <v>6560000</v>
      </c>
      <c r="G62">
        <v>3232</v>
      </c>
      <c r="H62">
        <v>9.2499999999999999E-2</v>
      </c>
      <c r="I62" t="b">
        <v>0</v>
      </c>
      <c r="J62">
        <v>2008</v>
      </c>
      <c r="K62" t="s">
        <v>25</v>
      </c>
      <c r="L62" t="s">
        <v>12</v>
      </c>
      <c r="M62">
        <v>10.55</v>
      </c>
      <c r="N62">
        <v>2030</v>
      </c>
      <c r="O62">
        <v>17</v>
      </c>
      <c r="P62" t="str">
        <f>IF('Funding Insights'!$D$5="Industry",Table_startup_data_13[[#This Row],[Industry]],Table_startup_data_13[[#This Row],[Region]])</f>
        <v>FinTech</v>
      </c>
    </row>
    <row r="63" spans="1:16" x14ac:dyDescent="0.25">
      <c r="A63" t="s">
        <v>374</v>
      </c>
      <c r="B63" t="s">
        <v>36</v>
      </c>
      <c r="C63">
        <v>2</v>
      </c>
      <c r="D63">
        <v>68050000</v>
      </c>
      <c r="E63">
        <v>238960000</v>
      </c>
      <c r="F63">
        <v>69480000</v>
      </c>
      <c r="G63">
        <v>2517</v>
      </c>
      <c r="H63">
        <v>7.8899999999999998E-2</v>
      </c>
      <c r="I63" t="b">
        <v>0</v>
      </c>
      <c r="J63">
        <v>2002</v>
      </c>
      <c r="K63" t="s">
        <v>25</v>
      </c>
      <c r="L63" t="s">
        <v>12</v>
      </c>
      <c r="M63">
        <v>3.51</v>
      </c>
      <c r="N63">
        <v>27604</v>
      </c>
      <c r="O63">
        <v>23</v>
      </c>
      <c r="P63" t="str">
        <f>IF('Funding Insights'!$D$5="Industry",Table_startup_data_13[[#This Row],[Industry]],Table_startup_data_13[[#This Row],[Region]])</f>
        <v>Cybersecurity</v>
      </c>
    </row>
    <row r="64" spans="1:16" x14ac:dyDescent="0.25">
      <c r="A64" t="s">
        <v>380</v>
      </c>
      <c r="B64" t="s">
        <v>14</v>
      </c>
      <c r="C64">
        <v>2</v>
      </c>
      <c r="D64">
        <v>295310000</v>
      </c>
      <c r="E64">
        <v>1414790000</v>
      </c>
      <c r="F64">
        <v>16570000</v>
      </c>
      <c r="G64">
        <v>2227</v>
      </c>
      <c r="H64">
        <v>8.0799999999999997E-2</v>
      </c>
      <c r="I64" t="b">
        <v>0</v>
      </c>
      <c r="J64">
        <v>2014</v>
      </c>
      <c r="K64" t="s">
        <v>25</v>
      </c>
      <c r="L64" t="s">
        <v>12</v>
      </c>
      <c r="M64">
        <v>4.79</v>
      </c>
      <c r="N64">
        <v>7441</v>
      </c>
      <c r="O64">
        <v>11</v>
      </c>
      <c r="P64" t="str">
        <f>IF('Funding Insights'!$D$5="Industry",Table_startup_data_13[[#This Row],[Industry]],Table_startup_data_13[[#This Row],[Region]])</f>
        <v>EdTech</v>
      </c>
    </row>
    <row r="65" spans="1:16" x14ac:dyDescent="0.25">
      <c r="A65" t="s">
        <v>383</v>
      </c>
      <c r="B65" t="s">
        <v>31</v>
      </c>
      <c r="C65">
        <v>4</v>
      </c>
      <c r="D65">
        <v>204300000</v>
      </c>
      <c r="E65">
        <v>1209810000</v>
      </c>
      <c r="F65">
        <v>44580000</v>
      </c>
      <c r="G65">
        <v>3467</v>
      </c>
      <c r="H65">
        <v>4.4900000000000002E-2</v>
      </c>
      <c r="I65" t="b">
        <v>0</v>
      </c>
      <c r="J65">
        <v>1991</v>
      </c>
      <c r="K65" t="s">
        <v>25</v>
      </c>
      <c r="L65" t="s">
        <v>12</v>
      </c>
      <c r="M65">
        <v>5.92</v>
      </c>
      <c r="N65">
        <v>12858</v>
      </c>
      <c r="O65">
        <v>34</v>
      </c>
      <c r="P65" t="str">
        <f>IF('Funding Insights'!$D$5="Industry",Table_startup_data_13[[#This Row],[Industry]],Table_startup_data_13[[#This Row],[Region]])</f>
        <v>FinTech</v>
      </c>
    </row>
    <row r="66" spans="1:16" x14ac:dyDescent="0.25">
      <c r="A66" t="s">
        <v>393</v>
      </c>
      <c r="B66" t="s">
        <v>10</v>
      </c>
      <c r="C66">
        <v>4</v>
      </c>
      <c r="D66">
        <v>44200000</v>
      </c>
      <c r="E66">
        <v>632680000</v>
      </c>
      <c r="F66">
        <v>47340000</v>
      </c>
      <c r="G66">
        <v>724</v>
      </c>
      <c r="H66">
        <v>6.3600000000000004E-2</v>
      </c>
      <c r="I66" t="b">
        <v>0</v>
      </c>
      <c r="J66">
        <v>2013</v>
      </c>
      <c r="K66" t="s">
        <v>25</v>
      </c>
      <c r="L66" t="s">
        <v>12</v>
      </c>
      <c r="M66">
        <v>14.31</v>
      </c>
      <c r="N66">
        <v>65387</v>
      </c>
      <c r="O66">
        <v>12</v>
      </c>
      <c r="P66" t="str">
        <f>IF('Funding Insights'!$D$5="Industry",Table_startup_data_13[[#This Row],[Industry]],Table_startup_data_13[[#This Row],[Region]])</f>
        <v>IoT</v>
      </c>
    </row>
    <row r="67" spans="1:16" x14ac:dyDescent="0.25">
      <c r="A67" t="s">
        <v>416</v>
      </c>
      <c r="B67" t="s">
        <v>10</v>
      </c>
      <c r="C67">
        <v>5</v>
      </c>
      <c r="D67">
        <v>37700000</v>
      </c>
      <c r="E67">
        <v>160770000</v>
      </c>
      <c r="F67">
        <v>28560000</v>
      </c>
      <c r="G67">
        <v>520</v>
      </c>
      <c r="H67">
        <v>7.4300000000000005E-2</v>
      </c>
      <c r="I67" t="b">
        <v>0</v>
      </c>
      <c r="J67">
        <v>1998</v>
      </c>
      <c r="K67" t="s">
        <v>25</v>
      </c>
      <c r="L67" t="s">
        <v>12</v>
      </c>
      <c r="M67">
        <v>4.26</v>
      </c>
      <c r="N67">
        <v>54923</v>
      </c>
      <c r="O67">
        <v>27</v>
      </c>
      <c r="P67" t="str">
        <f>IF('Funding Insights'!$D$5="Industry",Table_startup_data_13[[#This Row],[Industry]],Table_startup_data_13[[#This Row],[Region]])</f>
        <v>IoT</v>
      </c>
    </row>
    <row r="68" spans="1:16" x14ac:dyDescent="0.25">
      <c r="A68" t="s">
        <v>417</v>
      </c>
      <c r="B68" t="s">
        <v>22</v>
      </c>
      <c r="C68">
        <v>1</v>
      </c>
      <c r="D68">
        <v>268920000</v>
      </c>
      <c r="E68">
        <v>921550000</v>
      </c>
      <c r="F68">
        <v>46340000</v>
      </c>
      <c r="G68">
        <v>397</v>
      </c>
      <c r="H68">
        <v>8.6400000000000005E-2</v>
      </c>
      <c r="I68" t="b">
        <v>0</v>
      </c>
      <c r="J68">
        <v>1993</v>
      </c>
      <c r="K68" t="s">
        <v>25</v>
      </c>
      <c r="L68" t="s">
        <v>12</v>
      </c>
      <c r="M68">
        <v>3.43</v>
      </c>
      <c r="N68">
        <v>116725</v>
      </c>
      <c r="O68">
        <v>32</v>
      </c>
      <c r="P68" t="str">
        <f>IF('Funding Insights'!$D$5="Industry",Table_startup_data_13[[#This Row],[Industry]],Table_startup_data_13[[#This Row],[Region]])</f>
        <v>AI</v>
      </c>
    </row>
    <row r="69" spans="1:16" x14ac:dyDescent="0.25">
      <c r="A69" t="s">
        <v>424</v>
      </c>
      <c r="B69" t="s">
        <v>27</v>
      </c>
      <c r="C69">
        <v>3</v>
      </c>
      <c r="D69">
        <v>187780000</v>
      </c>
      <c r="E69">
        <v>2329620000</v>
      </c>
      <c r="F69">
        <v>28530000</v>
      </c>
      <c r="G69">
        <v>3407</v>
      </c>
      <c r="H69">
        <v>7.3499999999999996E-2</v>
      </c>
      <c r="I69" t="b">
        <v>0</v>
      </c>
      <c r="J69">
        <v>2011</v>
      </c>
      <c r="K69" t="s">
        <v>25</v>
      </c>
      <c r="L69" t="s">
        <v>12</v>
      </c>
      <c r="M69">
        <v>12.41</v>
      </c>
      <c r="N69">
        <v>8374</v>
      </c>
      <c r="O69">
        <v>14</v>
      </c>
      <c r="P69" t="str">
        <f>IF('Funding Insights'!$D$5="Industry",Table_startup_data_13[[#This Row],[Industry]],Table_startup_data_13[[#This Row],[Region]])</f>
        <v>HealthTech</v>
      </c>
    </row>
    <row r="70" spans="1:16" x14ac:dyDescent="0.25">
      <c r="A70" t="s">
        <v>434</v>
      </c>
      <c r="B70" t="s">
        <v>36</v>
      </c>
      <c r="C70">
        <v>1</v>
      </c>
      <c r="D70">
        <v>49620000</v>
      </c>
      <c r="E70">
        <v>614780000</v>
      </c>
      <c r="F70">
        <v>16600000</v>
      </c>
      <c r="G70">
        <v>3769</v>
      </c>
      <c r="H70">
        <v>2.75E-2</v>
      </c>
      <c r="I70" t="b">
        <v>0</v>
      </c>
      <c r="J70">
        <v>2009</v>
      </c>
      <c r="K70" t="s">
        <v>25</v>
      </c>
      <c r="L70" t="s">
        <v>12</v>
      </c>
      <c r="M70">
        <v>12.39</v>
      </c>
      <c r="N70">
        <v>4404</v>
      </c>
      <c r="O70">
        <v>16</v>
      </c>
      <c r="P70" t="str">
        <f>IF('Funding Insights'!$D$5="Industry",Table_startup_data_13[[#This Row],[Industry]],Table_startup_data_13[[#This Row],[Region]])</f>
        <v>Cybersecurity</v>
      </c>
    </row>
    <row r="71" spans="1:16" x14ac:dyDescent="0.25">
      <c r="A71" t="s">
        <v>437</v>
      </c>
      <c r="B71" t="s">
        <v>14</v>
      </c>
      <c r="C71">
        <v>4</v>
      </c>
      <c r="D71">
        <v>178190000</v>
      </c>
      <c r="E71">
        <v>1961550000</v>
      </c>
      <c r="F71">
        <v>88240000</v>
      </c>
      <c r="G71">
        <v>1999</v>
      </c>
      <c r="H71">
        <v>5.7599999999999998E-2</v>
      </c>
      <c r="I71" t="b">
        <v>1</v>
      </c>
      <c r="J71">
        <v>2004</v>
      </c>
      <c r="K71" t="s">
        <v>25</v>
      </c>
      <c r="L71" t="s">
        <v>12</v>
      </c>
      <c r="M71">
        <v>11.01</v>
      </c>
      <c r="N71">
        <v>44142</v>
      </c>
      <c r="O71">
        <v>21</v>
      </c>
      <c r="P71" t="str">
        <f>IF('Funding Insights'!$D$5="Industry",Table_startup_data_13[[#This Row],[Industry]],Table_startup_data_13[[#This Row],[Region]])</f>
        <v>EdTech</v>
      </c>
    </row>
    <row r="72" spans="1:16" x14ac:dyDescent="0.25">
      <c r="A72" t="s">
        <v>443</v>
      </c>
      <c r="B72" t="s">
        <v>72</v>
      </c>
      <c r="C72">
        <v>1</v>
      </c>
      <c r="D72">
        <v>223410000</v>
      </c>
      <c r="E72">
        <v>1952390000</v>
      </c>
      <c r="F72">
        <v>95410000</v>
      </c>
      <c r="G72">
        <v>1597</v>
      </c>
      <c r="H72">
        <v>4.1799999999999997E-2</v>
      </c>
      <c r="I72" t="b">
        <v>1</v>
      </c>
      <c r="J72">
        <v>2000</v>
      </c>
      <c r="K72" t="s">
        <v>25</v>
      </c>
      <c r="L72" t="s">
        <v>12</v>
      </c>
      <c r="M72">
        <v>8.74</v>
      </c>
      <c r="N72">
        <v>59743</v>
      </c>
      <c r="O72">
        <v>25</v>
      </c>
      <c r="P72" t="str">
        <f>IF('Funding Insights'!$D$5="Industry",Table_startup_data_13[[#This Row],[Industry]],Table_startup_data_13[[#This Row],[Region]])</f>
        <v>E-Commerce</v>
      </c>
    </row>
    <row r="73" spans="1:16" x14ac:dyDescent="0.25">
      <c r="A73" t="s">
        <v>450</v>
      </c>
      <c r="B73" t="s">
        <v>27</v>
      </c>
      <c r="C73">
        <v>5</v>
      </c>
      <c r="D73">
        <v>100030000</v>
      </c>
      <c r="E73">
        <v>1404780000</v>
      </c>
      <c r="F73">
        <v>87170000</v>
      </c>
      <c r="G73">
        <v>2057</v>
      </c>
      <c r="H73">
        <v>9.4600000000000004E-2</v>
      </c>
      <c r="I73" t="b">
        <v>1</v>
      </c>
      <c r="J73">
        <v>2000</v>
      </c>
      <c r="K73" t="s">
        <v>25</v>
      </c>
      <c r="L73" t="s">
        <v>12</v>
      </c>
      <c r="M73">
        <v>14.04</v>
      </c>
      <c r="N73">
        <v>42377</v>
      </c>
      <c r="O73">
        <v>25</v>
      </c>
      <c r="P73" t="str">
        <f>IF('Funding Insights'!$D$5="Industry",Table_startup_data_13[[#This Row],[Industry]],Table_startup_data_13[[#This Row],[Region]])</f>
        <v>HealthTech</v>
      </c>
    </row>
    <row r="74" spans="1:16" x14ac:dyDescent="0.25">
      <c r="A74" t="s">
        <v>463</v>
      </c>
      <c r="B74" t="s">
        <v>36</v>
      </c>
      <c r="C74">
        <v>3</v>
      </c>
      <c r="D74">
        <v>188820000</v>
      </c>
      <c r="E74">
        <v>2669880000</v>
      </c>
      <c r="F74">
        <v>64650000</v>
      </c>
      <c r="G74">
        <v>1937</v>
      </c>
      <c r="H74">
        <v>6.1499999999999999E-2</v>
      </c>
      <c r="I74" t="b">
        <v>1</v>
      </c>
      <c r="J74">
        <v>1996</v>
      </c>
      <c r="K74" t="s">
        <v>25</v>
      </c>
      <c r="L74" t="s">
        <v>12</v>
      </c>
      <c r="M74">
        <v>14.14</v>
      </c>
      <c r="N74">
        <v>33376</v>
      </c>
      <c r="O74">
        <v>29</v>
      </c>
      <c r="P74" t="str">
        <f>IF('Funding Insights'!$D$5="Industry",Table_startup_data_13[[#This Row],[Industry]],Table_startup_data_13[[#This Row],[Region]])</f>
        <v>Cybersecurity</v>
      </c>
    </row>
    <row r="75" spans="1:16" x14ac:dyDescent="0.25">
      <c r="A75" t="s">
        <v>468</v>
      </c>
      <c r="B75" t="s">
        <v>14</v>
      </c>
      <c r="C75">
        <v>5</v>
      </c>
      <c r="D75">
        <v>154440000</v>
      </c>
      <c r="E75">
        <v>1707710000</v>
      </c>
      <c r="F75">
        <v>13970000</v>
      </c>
      <c r="G75">
        <v>3504</v>
      </c>
      <c r="H75">
        <v>2.3E-2</v>
      </c>
      <c r="I75" t="b">
        <v>0</v>
      </c>
      <c r="J75">
        <v>2017</v>
      </c>
      <c r="K75" t="s">
        <v>25</v>
      </c>
      <c r="L75" t="s">
        <v>12</v>
      </c>
      <c r="M75">
        <v>11.06</v>
      </c>
      <c r="N75">
        <v>3987</v>
      </c>
      <c r="O75">
        <v>8</v>
      </c>
      <c r="P75" t="str">
        <f>IF('Funding Insights'!$D$5="Industry",Table_startup_data_13[[#This Row],[Industry]],Table_startup_data_13[[#This Row],[Region]])</f>
        <v>EdTech</v>
      </c>
    </row>
    <row r="76" spans="1:16" x14ac:dyDescent="0.25">
      <c r="A76" t="s">
        <v>473</v>
      </c>
      <c r="B76" t="s">
        <v>36</v>
      </c>
      <c r="C76">
        <v>2</v>
      </c>
      <c r="D76">
        <v>179520000</v>
      </c>
      <c r="E76">
        <v>1908810000</v>
      </c>
      <c r="F76">
        <v>74120000</v>
      </c>
      <c r="G76">
        <v>3828</v>
      </c>
      <c r="H76">
        <v>7.5499999999999998E-2</v>
      </c>
      <c r="I76" t="b">
        <v>0</v>
      </c>
      <c r="J76">
        <v>2022</v>
      </c>
      <c r="K76" t="s">
        <v>25</v>
      </c>
      <c r="L76" t="s">
        <v>12</v>
      </c>
      <c r="M76">
        <v>10.63</v>
      </c>
      <c r="N76">
        <v>19363</v>
      </c>
      <c r="O76">
        <v>3</v>
      </c>
      <c r="P76" t="str">
        <f>IF('Funding Insights'!$D$5="Industry",Table_startup_data_13[[#This Row],[Industry]],Table_startup_data_13[[#This Row],[Region]])</f>
        <v>Cybersecurity</v>
      </c>
    </row>
    <row r="77" spans="1:16" x14ac:dyDescent="0.25">
      <c r="A77" t="s">
        <v>488</v>
      </c>
      <c r="B77" t="s">
        <v>10</v>
      </c>
      <c r="C77">
        <v>1</v>
      </c>
      <c r="D77">
        <v>154030000</v>
      </c>
      <c r="E77">
        <v>2246000000</v>
      </c>
      <c r="F77">
        <v>6830000</v>
      </c>
      <c r="G77">
        <v>2006</v>
      </c>
      <c r="H77">
        <v>2.8799999999999999E-2</v>
      </c>
      <c r="I77" t="b">
        <v>0</v>
      </c>
      <c r="J77">
        <v>2011</v>
      </c>
      <c r="K77" t="s">
        <v>25</v>
      </c>
      <c r="L77" t="s">
        <v>12</v>
      </c>
      <c r="M77">
        <v>14.58</v>
      </c>
      <c r="N77">
        <v>3405</v>
      </c>
      <c r="O77">
        <v>14</v>
      </c>
      <c r="P77" t="str">
        <f>IF('Funding Insights'!$D$5="Industry",Table_startup_data_13[[#This Row],[Industry]],Table_startup_data_13[[#This Row],[Region]])</f>
        <v>IoT</v>
      </c>
    </row>
    <row r="78" spans="1:16" x14ac:dyDescent="0.25">
      <c r="A78" t="s">
        <v>491</v>
      </c>
      <c r="B78" t="s">
        <v>14</v>
      </c>
      <c r="C78">
        <v>5</v>
      </c>
      <c r="D78">
        <v>131430000</v>
      </c>
      <c r="E78">
        <v>934280000</v>
      </c>
      <c r="F78">
        <v>40450000</v>
      </c>
      <c r="G78">
        <v>887</v>
      </c>
      <c r="H78">
        <v>4.8399999999999999E-2</v>
      </c>
      <c r="I78" t="b">
        <v>1</v>
      </c>
      <c r="J78">
        <v>1999</v>
      </c>
      <c r="K78" t="s">
        <v>25</v>
      </c>
      <c r="L78" t="s">
        <v>12</v>
      </c>
      <c r="M78">
        <v>7.11</v>
      </c>
      <c r="N78">
        <v>45603</v>
      </c>
      <c r="O78">
        <v>26</v>
      </c>
      <c r="P78" t="str">
        <f>IF('Funding Insights'!$D$5="Industry",Table_startup_data_13[[#This Row],[Industry]],Table_startup_data_13[[#This Row],[Region]])</f>
        <v>EdTech</v>
      </c>
    </row>
    <row r="79" spans="1:16" x14ac:dyDescent="0.25">
      <c r="A79" t="s">
        <v>496</v>
      </c>
      <c r="B79" t="s">
        <v>10</v>
      </c>
      <c r="C79">
        <v>5</v>
      </c>
      <c r="D79">
        <v>198960000</v>
      </c>
      <c r="E79">
        <v>849790000</v>
      </c>
      <c r="F79">
        <v>22710000</v>
      </c>
      <c r="G79">
        <v>4719</v>
      </c>
      <c r="H79">
        <v>9.8199999999999996E-2</v>
      </c>
      <c r="I79" t="b">
        <v>0</v>
      </c>
      <c r="J79">
        <v>1990</v>
      </c>
      <c r="K79" t="s">
        <v>25</v>
      </c>
      <c r="L79" t="s">
        <v>12</v>
      </c>
      <c r="M79">
        <v>4.2699999999999996</v>
      </c>
      <c r="N79">
        <v>4812</v>
      </c>
      <c r="O79">
        <v>35</v>
      </c>
      <c r="P79" t="str">
        <f>IF('Funding Insights'!$D$5="Industry",Table_startup_data_13[[#This Row],[Industry]],Table_startup_data_13[[#This Row],[Region]])</f>
        <v>IoT</v>
      </c>
    </row>
    <row r="80" spans="1:16" x14ac:dyDescent="0.25">
      <c r="A80" t="s">
        <v>499</v>
      </c>
      <c r="B80" t="s">
        <v>72</v>
      </c>
      <c r="C80">
        <v>3</v>
      </c>
      <c r="D80">
        <v>93990000</v>
      </c>
      <c r="E80">
        <v>932950000</v>
      </c>
      <c r="F80">
        <v>57970000</v>
      </c>
      <c r="G80">
        <v>934</v>
      </c>
      <c r="H80">
        <v>9.8900000000000002E-2</v>
      </c>
      <c r="I80" t="b">
        <v>1</v>
      </c>
      <c r="J80">
        <v>1993</v>
      </c>
      <c r="K80" t="s">
        <v>25</v>
      </c>
      <c r="L80" t="s">
        <v>12</v>
      </c>
      <c r="M80">
        <v>9.93</v>
      </c>
      <c r="N80">
        <v>62066</v>
      </c>
      <c r="O80">
        <v>32</v>
      </c>
      <c r="P80" t="str">
        <f>IF('Funding Insights'!$D$5="Industry",Table_startup_data_13[[#This Row],[Industry]],Table_startup_data_13[[#This Row],[Region]])</f>
        <v>E-Commerce</v>
      </c>
    </row>
    <row r="81" spans="1:16" x14ac:dyDescent="0.25">
      <c r="A81" t="s">
        <v>500</v>
      </c>
      <c r="B81" t="s">
        <v>31</v>
      </c>
      <c r="C81">
        <v>3</v>
      </c>
      <c r="D81">
        <v>120010000</v>
      </c>
      <c r="E81">
        <v>1623210000</v>
      </c>
      <c r="F81">
        <v>75960000</v>
      </c>
      <c r="G81">
        <v>524</v>
      </c>
      <c r="H81">
        <v>2.3900000000000001E-2</v>
      </c>
      <c r="I81" t="b">
        <v>0</v>
      </c>
      <c r="J81">
        <v>2015</v>
      </c>
      <c r="K81" t="s">
        <v>25</v>
      </c>
      <c r="L81" t="s">
        <v>12</v>
      </c>
      <c r="M81">
        <v>13.53</v>
      </c>
      <c r="N81">
        <v>144962</v>
      </c>
      <c r="O81">
        <v>10</v>
      </c>
      <c r="P81" t="str">
        <f>IF('Funding Insights'!$D$5="Industry",Table_startup_data_13[[#This Row],[Industry]],Table_startup_data_13[[#This Row],[Region]])</f>
        <v>FinTech</v>
      </c>
    </row>
    <row r="82" spans="1:16" x14ac:dyDescent="0.25">
      <c r="A82" t="s">
        <v>509</v>
      </c>
      <c r="B82" t="s">
        <v>18</v>
      </c>
      <c r="C82">
        <v>5</v>
      </c>
      <c r="D82">
        <v>132890000</v>
      </c>
      <c r="E82">
        <v>1801700000</v>
      </c>
      <c r="F82">
        <v>16650000</v>
      </c>
      <c r="G82">
        <v>3672</v>
      </c>
      <c r="H82">
        <v>3.7600000000000001E-2</v>
      </c>
      <c r="I82" t="b">
        <v>0</v>
      </c>
      <c r="J82">
        <v>2016</v>
      </c>
      <c r="K82" t="s">
        <v>25</v>
      </c>
      <c r="L82" t="s">
        <v>12</v>
      </c>
      <c r="M82">
        <v>13.56</v>
      </c>
      <c r="N82">
        <v>4534</v>
      </c>
      <c r="O82">
        <v>9</v>
      </c>
      <c r="P82" t="str">
        <f>IF('Funding Insights'!$D$5="Industry",Table_startup_data_13[[#This Row],[Industry]],Table_startup_data_13[[#This Row],[Region]])</f>
        <v>Gaming</v>
      </c>
    </row>
    <row r="83" spans="1:16" x14ac:dyDescent="0.25">
      <c r="A83" t="s">
        <v>510</v>
      </c>
      <c r="B83" t="s">
        <v>31</v>
      </c>
      <c r="C83">
        <v>2</v>
      </c>
      <c r="D83">
        <v>99600000</v>
      </c>
      <c r="E83">
        <v>1084720000</v>
      </c>
      <c r="F83">
        <v>64610000</v>
      </c>
      <c r="G83">
        <v>3676</v>
      </c>
      <c r="H83">
        <v>5.4999999999999997E-3</v>
      </c>
      <c r="I83" t="b">
        <v>0</v>
      </c>
      <c r="J83">
        <v>2021</v>
      </c>
      <c r="K83" t="s">
        <v>25</v>
      </c>
      <c r="L83" t="s">
        <v>12</v>
      </c>
      <c r="M83">
        <v>10.89</v>
      </c>
      <c r="N83">
        <v>17576</v>
      </c>
      <c r="O83">
        <v>4</v>
      </c>
      <c r="P83" t="str">
        <f>IF('Funding Insights'!$D$5="Industry",Table_startup_data_13[[#This Row],[Industry]],Table_startup_data_13[[#This Row],[Region]])</f>
        <v>FinTech</v>
      </c>
    </row>
    <row r="84" spans="1:16" x14ac:dyDescent="0.25">
      <c r="A84" t="s">
        <v>511</v>
      </c>
      <c r="B84" t="s">
        <v>72</v>
      </c>
      <c r="C84">
        <v>2</v>
      </c>
      <c r="D84">
        <v>134910000</v>
      </c>
      <c r="E84">
        <v>908100000</v>
      </c>
      <c r="F84">
        <v>4570000</v>
      </c>
      <c r="G84">
        <v>2806</v>
      </c>
      <c r="H84">
        <v>3.56E-2</v>
      </c>
      <c r="I84" t="b">
        <v>0</v>
      </c>
      <c r="J84">
        <v>2003</v>
      </c>
      <c r="K84" t="s">
        <v>25</v>
      </c>
      <c r="L84" t="s">
        <v>12</v>
      </c>
      <c r="M84">
        <v>6.73</v>
      </c>
      <c r="N84">
        <v>1629</v>
      </c>
      <c r="O84">
        <v>22</v>
      </c>
      <c r="P84" t="str">
        <f>IF('Funding Insights'!$D$5="Industry",Table_startup_data_13[[#This Row],[Industry]],Table_startup_data_13[[#This Row],[Region]])</f>
        <v>E-Commerce</v>
      </c>
    </row>
    <row r="85" spans="1:16" x14ac:dyDescent="0.25">
      <c r="A85" t="s">
        <v>513</v>
      </c>
      <c r="B85" t="s">
        <v>31</v>
      </c>
      <c r="C85">
        <v>5</v>
      </c>
      <c r="D85">
        <v>44150000</v>
      </c>
      <c r="E85">
        <v>564300000</v>
      </c>
      <c r="F85">
        <v>94670000</v>
      </c>
      <c r="G85">
        <v>3120</v>
      </c>
      <c r="H85">
        <v>3.85E-2</v>
      </c>
      <c r="I85" t="b">
        <v>0</v>
      </c>
      <c r="J85">
        <v>2017</v>
      </c>
      <c r="K85" t="s">
        <v>25</v>
      </c>
      <c r="L85" t="s">
        <v>12</v>
      </c>
      <c r="M85">
        <v>12.78</v>
      </c>
      <c r="N85">
        <v>30343</v>
      </c>
      <c r="O85">
        <v>8</v>
      </c>
      <c r="P85" t="str">
        <f>IF('Funding Insights'!$D$5="Industry",Table_startup_data_13[[#This Row],[Industry]],Table_startup_data_13[[#This Row],[Region]])</f>
        <v>FinTech</v>
      </c>
    </row>
    <row r="86" spans="1:16" x14ac:dyDescent="0.25">
      <c r="A86" t="s">
        <v>522</v>
      </c>
      <c r="B86" t="s">
        <v>72</v>
      </c>
      <c r="C86">
        <v>1</v>
      </c>
      <c r="D86">
        <v>160290000</v>
      </c>
      <c r="E86">
        <v>502090000</v>
      </c>
      <c r="F86">
        <v>84730000</v>
      </c>
      <c r="G86">
        <v>2222</v>
      </c>
      <c r="H86">
        <v>4.3200000000000002E-2</v>
      </c>
      <c r="I86" t="b">
        <v>0</v>
      </c>
      <c r="J86">
        <v>2019</v>
      </c>
      <c r="K86" t="s">
        <v>25</v>
      </c>
      <c r="L86" t="s">
        <v>12</v>
      </c>
      <c r="M86">
        <v>3.13</v>
      </c>
      <c r="N86">
        <v>38132</v>
      </c>
      <c r="O86">
        <v>6</v>
      </c>
      <c r="P86" t="str">
        <f>IF('Funding Insights'!$D$5="Industry",Table_startup_data_13[[#This Row],[Industry]],Table_startup_data_13[[#This Row],[Region]])</f>
        <v>E-Commerce</v>
      </c>
    </row>
    <row r="87" spans="1:16" x14ac:dyDescent="0.25">
      <c r="A87" t="s">
        <v>44</v>
      </c>
      <c r="B87" t="s">
        <v>18</v>
      </c>
      <c r="C87">
        <v>5</v>
      </c>
      <c r="D87">
        <v>209800000</v>
      </c>
      <c r="E87">
        <v>1442910000</v>
      </c>
      <c r="F87">
        <v>51060000</v>
      </c>
      <c r="G87">
        <v>4014</v>
      </c>
      <c r="H87">
        <v>6.2600000000000003E-2</v>
      </c>
      <c r="I87" t="b">
        <v>1</v>
      </c>
      <c r="J87">
        <v>2007</v>
      </c>
      <c r="K87" t="s">
        <v>29</v>
      </c>
      <c r="L87" t="s">
        <v>12</v>
      </c>
      <c r="M87">
        <v>6.88</v>
      </c>
      <c r="N87">
        <v>12720</v>
      </c>
      <c r="O87">
        <v>18</v>
      </c>
      <c r="P87" t="str">
        <f>IF('Funding Insights'!$D$5="Industry",Table_startup_data_13[[#This Row],[Industry]],Table_startup_data_13[[#This Row],[Region]])</f>
        <v>Gaming</v>
      </c>
    </row>
    <row r="88" spans="1:16" x14ac:dyDescent="0.25">
      <c r="A88" t="s">
        <v>67</v>
      </c>
      <c r="B88" t="s">
        <v>31</v>
      </c>
      <c r="C88">
        <v>3</v>
      </c>
      <c r="D88">
        <v>190110000</v>
      </c>
      <c r="E88">
        <v>1127310000</v>
      </c>
      <c r="F88">
        <v>37210000</v>
      </c>
      <c r="G88">
        <v>951</v>
      </c>
      <c r="H88">
        <v>1.52E-2</v>
      </c>
      <c r="I88" t="b">
        <v>0</v>
      </c>
      <c r="J88">
        <v>2005</v>
      </c>
      <c r="K88" t="s">
        <v>29</v>
      </c>
      <c r="L88" t="s">
        <v>12</v>
      </c>
      <c r="M88">
        <v>5.93</v>
      </c>
      <c r="N88">
        <v>39127</v>
      </c>
      <c r="O88">
        <v>20</v>
      </c>
      <c r="P88" t="str">
        <f>IF('Funding Insights'!$D$5="Industry",Table_startup_data_13[[#This Row],[Industry]],Table_startup_data_13[[#This Row],[Region]])</f>
        <v>FinTech</v>
      </c>
    </row>
    <row r="89" spans="1:16" x14ac:dyDescent="0.25">
      <c r="A89" t="s">
        <v>77</v>
      </c>
      <c r="B89" t="s">
        <v>14</v>
      </c>
      <c r="C89">
        <v>5</v>
      </c>
      <c r="D89">
        <v>55720000</v>
      </c>
      <c r="E89">
        <v>720020000</v>
      </c>
      <c r="F89">
        <v>17910000</v>
      </c>
      <c r="G89">
        <v>304</v>
      </c>
      <c r="H89">
        <v>2.12E-2</v>
      </c>
      <c r="I89" t="b">
        <v>1</v>
      </c>
      <c r="J89">
        <v>1992</v>
      </c>
      <c r="K89" t="s">
        <v>29</v>
      </c>
      <c r="L89" t="s">
        <v>12</v>
      </c>
      <c r="M89">
        <v>12.92</v>
      </c>
      <c r="N89">
        <v>58914</v>
      </c>
      <c r="O89">
        <v>33</v>
      </c>
      <c r="P89" t="str">
        <f>IF('Funding Insights'!$D$5="Industry",Table_startup_data_13[[#This Row],[Industry]],Table_startup_data_13[[#This Row],[Region]])</f>
        <v>EdTech</v>
      </c>
    </row>
    <row r="90" spans="1:16" x14ac:dyDescent="0.25">
      <c r="A90" t="s">
        <v>83</v>
      </c>
      <c r="B90" t="s">
        <v>18</v>
      </c>
      <c r="C90">
        <v>4</v>
      </c>
      <c r="D90">
        <v>274700000</v>
      </c>
      <c r="E90">
        <v>1872720000</v>
      </c>
      <c r="F90">
        <v>20370000</v>
      </c>
      <c r="G90">
        <v>1632</v>
      </c>
      <c r="H90">
        <v>3.7100000000000001E-2</v>
      </c>
      <c r="I90" t="b">
        <v>0</v>
      </c>
      <c r="J90">
        <v>1991</v>
      </c>
      <c r="K90" t="s">
        <v>29</v>
      </c>
      <c r="L90" t="s">
        <v>12</v>
      </c>
      <c r="M90">
        <v>6.82</v>
      </c>
      <c r="N90">
        <v>12482</v>
      </c>
      <c r="O90">
        <v>34</v>
      </c>
      <c r="P90" t="str">
        <f>IF('Funding Insights'!$D$5="Industry",Table_startup_data_13[[#This Row],[Industry]],Table_startup_data_13[[#This Row],[Region]])</f>
        <v>Gaming</v>
      </c>
    </row>
    <row r="91" spans="1:16" x14ac:dyDescent="0.25">
      <c r="A91" t="s">
        <v>90</v>
      </c>
      <c r="B91" t="s">
        <v>31</v>
      </c>
      <c r="C91">
        <v>2</v>
      </c>
      <c r="D91">
        <v>145380000</v>
      </c>
      <c r="E91">
        <v>1571000000</v>
      </c>
      <c r="F91">
        <v>69800000</v>
      </c>
      <c r="G91">
        <v>1242</v>
      </c>
      <c r="H91">
        <v>7.2900000000000006E-2</v>
      </c>
      <c r="I91" t="b">
        <v>0</v>
      </c>
      <c r="J91">
        <v>1994</v>
      </c>
      <c r="K91" t="s">
        <v>29</v>
      </c>
      <c r="L91" t="s">
        <v>12</v>
      </c>
      <c r="M91">
        <v>10.81</v>
      </c>
      <c r="N91">
        <v>56200</v>
      </c>
      <c r="O91">
        <v>31</v>
      </c>
      <c r="P91" t="str">
        <f>IF('Funding Insights'!$D$5="Industry",Table_startup_data_13[[#This Row],[Industry]],Table_startup_data_13[[#This Row],[Region]])</f>
        <v>FinTech</v>
      </c>
    </row>
    <row r="92" spans="1:16" x14ac:dyDescent="0.25">
      <c r="A92" t="s">
        <v>124</v>
      </c>
      <c r="B92" t="s">
        <v>36</v>
      </c>
      <c r="C92">
        <v>2</v>
      </c>
      <c r="D92">
        <v>191350000</v>
      </c>
      <c r="E92">
        <v>1139080000</v>
      </c>
      <c r="F92">
        <v>84490000</v>
      </c>
      <c r="G92">
        <v>4682</v>
      </c>
      <c r="H92">
        <v>3.44E-2</v>
      </c>
      <c r="I92" t="b">
        <v>0</v>
      </c>
      <c r="J92">
        <v>2000</v>
      </c>
      <c r="K92" t="s">
        <v>29</v>
      </c>
      <c r="L92" t="s">
        <v>12</v>
      </c>
      <c r="M92">
        <v>5.95</v>
      </c>
      <c r="N92">
        <v>18046</v>
      </c>
      <c r="O92">
        <v>25</v>
      </c>
      <c r="P92" t="str">
        <f>IF('Funding Insights'!$D$5="Industry",Table_startup_data_13[[#This Row],[Industry]],Table_startup_data_13[[#This Row],[Region]])</f>
        <v>Cybersecurity</v>
      </c>
    </row>
    <row r="93" spans="1:16" x14ac:dyDescent="0.25">
      <c r="A93" t="s">
        <v>130</v>
      </c>
      <c r="B93" t="s">
        <v>27</v>
      </c>
      <c r="C93">
        <v>5</v>
      </c>
      <c r="D93">
        <v>201140000</v>
      </c>
      <c r="E93">
        <v>1861510000</v>
      </c>
      <c r="F93">
        <v>56240000</v>
      </c>
      <c r="G93">
        <v>1951</v>
      </c>
      <c r="H93">
        <v>1.5800000000000002E-2</v>
      </c>
      <c r="I93" t="b">
        <v>0</v>
      </c>
      <c r="J93">
        <v>2003</v>
      </c>
      <c r="K93" t="s">
        <v>29</v>
      </c>
      <c r="L93" t="s">
        <v>12</v>
      </c>
      <c r="M93">
        <v>9.25</v>
      </c>
      <c r="N93">
        <v>28826</v>
      </c>
      <c r="O93">
        <v>22</v>
      </c>
      <c r="P93" t="str">
        <f>IF('Funding Insights'!$D$5="Industry",Table_startup_data_13[[#This Row],[Industry]],Table_startup_data_13[[#This Row],[Region]])</f>
        <v>HealthTech</v>
      </c>
    </row>
    <row r="94" spans="1:16" x14ac:dyDescent="0.25">
      <c r="A94" t="s">
        <v>131</v>
      </c>
      <c r="B94" t="s">
        <v>10</v>
      </c>
      <c r="C94">
        <v>2</v>
      </c>
      <c r="D94">
        <v>13730000</v>
      </c>
      <c r="E94">
        <v>176690000</v>
      </c>
      <c r="F94">
        <v>34660000</v>
      </c>
      <c r="G94">
        <v>4815</v>
      </c>
      <c r="H94">
        <v>3.8699999999999998E-2</v>
      </c>
      <c r="I94" t="b">
        <v>1</v>
      </c>
      <c r="J94">
        <v>2022</v>
      </c>
      <c r="K94" t="s">
        <v>29</v>
      </c>
      <c r="L94" t="s">
        <v>12</v>
      </c>
      <c r="M94">
        <v>12.87</v>
      </c>
      <c r="N94">
        <v>7198</v>
      </c>
      <c r="O94">
        <v>3</v>
      </c>
      <c r="P94" t="str">
        <f>IF('Funding Insights'!$D$5="Industry",Table_startup_data_13[[#This Row],[Industry]],Table_startup_data_13[[#This Row],[Region]])</f>
        <v>IoT</v>
      </c>
    </row>
    <row r="95" spans="1:16" x14ac:dyDescent="0.25">
      <c r="A95" t="s">
        <v>134</v>
      </c>
      <c r="B95" t="s">
        <v>18</v>
      </c>
      <c r="C95">
        <v>5</v>
      </c>
      <c r="D95">
        <v>166960000</v>
      </c>
      <c r="E95">
        <v>643690000</v>
      </c>
      <c r="F95">
        <v>8730000</v>
      </c>
      <c r="G95">
        <v>3830</v>
      </c>
      <c r="H95">
        <v>3.0000000000000001E-3</v>
      </c>
      <c r="I95" t="b">
        <v>0</v>
      </c>
      <c r="J95">
        <v>2012</v>
      </c>
      <c r="K95" t="s">
        <v>29</v>
      </c>
      <c r="L95" t="s">
        <v>12</v>
      </c>
      <c r="M95">
        <v>3.86</v>
      </c>
      <c r="N95">
        <v>2279</v>
      </c>
      <c r="O95">
        <v>13</v>
      </c>
      <c r="P95" t="str">
        <f>IF('Funding Insights'!$D$5="Industry",Table_startup_data_13[[#This Row],[Industry]],Table_startup_data_13[[#This Row],[Region]])</f>
        <v>Gaming</v>
      </c>
    </row>
    <row r="96" spans="1:16" x14ac:dyDescent="0.25">
      <c r="A96" t="s">
        <v>137</v>
      </c>
      <c r="B96" t="s">
        <v>72</v>
      </c>
      <c r="C96">
        <v>3</v>
      </c>
      <c r="D96">
        <v>36600000</v>
      </c>
      <c r="E96">
        <v>276730000</v>
      </c>
      <c r="F96">
        <v>54880000</v>
      </c>
      <c r="G96">
        <v>4182</v>
      </c>
      <c r="H96">
        <v>2.76E-2</v>
      </c>
      <c r="I96" t="b">
        <v>1</v>
      </c>
      <c r="J96">
        <v>1994</v>
      </c>
      <c r="K96" t="s">
        <v>29</v>
      </c>
      <c r="L96" t="s">
        <v>12</v>
      </c>
      <c r="M96">
        <v>7.56</v>
      </c>
      <c r="N96">
        <v>13123</v>
      </c>
      <c r="O96">
        <v>31</v>
      </c>
      <c r="P96" t="str">
        <f>IF('Funding Insights'!$D$5="Industry",Table_startup_data_13[[#This Row],[Industry]],Table_startup_data_13[[#This Row],[Region]])</f>
        <v>E-Commerce</v>
      </c>
    </row>
    <row r="97" spans="1:16" x14ac:dyDescent="0.25">
      <c r="A97" t="s">
        <v>138</v>
      </c>
      <c r="B97" t="s">
        <v>31</v>
      </c>
      <c r="C97">
        <v>3</v>
      </c>
      <c r="D97">
        <v>219440000</v>
      </c>
      <c r="E97">
        <v>1177480000</v>
      </c>
      <c r="F97">
        <v>12890000</v>
      </c>
      <c r="G97">
        <v>4704</v>
      </c>
      <c r="H97">
        <v>6.3200000000000006E-2</v>
      </c>
      <c r="I97" t="b">
        <v>0</v>
      </c>
      <c r="J97">
        <v>2012</v>
      </c>
      <c r="K97" t="s">
        <v>29</v>
      </c>
      <c r="L97" t="s">
        <v>12</v>
      </c>
      <c r="M97">
        <v>5.37</v>
      </c>
      <c r="N97">
        <v>2740</v>
      </c>
      <c r="O97">
        <v>13</v>
      </c>
      <c r="P97" t="str">
        <f>IF('Funding Insights'!$D$5="Industry",Table_startup_data_13[[#This Row],[Industry]],Table_startup_data_13[[#This Row],[Region]])</f>
        <v>FinTech</v>
      </c>
    </row>
    <row r="98" spans="1:16" x14ac:dyDescent="0.25">
      <c r="A98" t="s">
        <v>142</v>
      </c>
      <c r="B98" t="s">
        <v>18</v>
      </c>
      <c r="C98">
        <v>4</v>
      </c>
      <c r="D98">
        <v>238700000</v>
      </c>
      <c r="E98">
        <v>2484440000</v>
      </c>
      <c r="F98">
        <v>78790000</v>
      </c>
      <c r="G98">
        <v>907</v>
      </c>
      <c r="H98">
        <v>6.3600000000000004E-2</v>
      </c>
      <c r="I98" t="b">
        <v>0</v>
      </c>
      <c r="J98">
        <v>2014</v>
      </c>
      <c r="K98" t="s">
        <v>29</v>
      </c>
      <c r="L98" t="s">
        <v>12</v>
      </c>
      <c r="M98">
        <v>10.41</v>
      </c>
      <c r="N98">
        <v>86869</v>
      </c>
      <c r="O98">
        <v>11</v>
      </c>
      <c r="P98" t="str">
        <f>IF('Funding Insights'!$D$5="Industry",Table_startup_data_13[[#This Row],[Industry]],Table_startup_data_13[[#This Row],[Region]])</f>
        <v>Gaming</v>
      </c>
    </row>
    <row r="99" spans="1:16" x14ac:dyDescent="0.25">
      <c r="A99" t="s">
        <v>145</v>
      </c>
      <c r="B99" t="s">
        <v>72</v>
      </c>
      <c r="C99">
        <v>3</v>
      </c>
      <c r="D99">
        <v>136820000</v>
      </c>
      <c r="E99">
        <v>1936720000</v>
      </c>
      <c r="F99">
        <v>97960000</v>
      </c>
      <c r="G99">
        <v>3124</v>
      </c>
      <c r="H99">
        <v>7.8299999999999995E-2</v>
      </c>
      <c r="I99" t="b">
        <v>1</v>
      </c>
      <c r="J99">
        <v>2019</v>
      </c>
      <c r="K99" t="s">
        <v>29</v>
      </c>
      <c r="L99" t="s">
        <v>12</v>
      </c>
      <c r="M99">
        <v>14.16</v>
      </c>
      <c r="N99">
        <v>31357</v>
      </c>
      <c r="O99">
        <v>6</v>
      </c>
      <c r="P99" t="str">
        <f>IF('Funding Insights'!$D$5="Industry",Table_startup_data_13[[#This Row],[Industry]],Table_startup_data_13[[#This Row],[Region]])</f>
        <v>E-Commerce</v>
      </c>
    </row>
    <row r="100" spans="1:16" x14ac:dyDescent="0.25">
      <c r="A100" t="s">
        <v>159</v>
      </c>
      <c r="B100" t="s">
        <v>31</v>
      </c>
      <c r="C100">
        <v>5</v>
      </c>
      <c r="D100">
        <v>198670000</v>
      </c>
      <c r="E100">
        <v>2487520000</v>
      </c>
      <c r="F100">
        <v>54560000</v>
      </c>
      <c r="G100">
        <v>2532</v>
      </c>
      <c r="H100">
        <v>6.1000000000000004E-3</v>
      </c>
      <c r="I100" t="b">
        <v>0</v>
      </c>
      <c r="J100">
        <v>2000</v>
      </c>
      <c r="K100" t="s">
        <v>29</v>
      </c>
      <c r="L100" t="s">
        <v>12</v>
      </c>
      <c r="M100">
        <v>12.52</v>
      </c>
      <c r="N100">
        <v>21548</v>
      </c>
      <c r="O100">
        <v>25</v>
      </c>
      <c r="P100" t="str">
        <f>IF('Funding Insights'!$D$5="Industry",Table_startup_data_13[[#This Row],[Industry]],Table_startup_data_13[[#This Row],[Region]])</f>
        <v>FinTech</v>
      </c>
    </row>
    <row r="101" spans="1:16" x14ac:dyDescent="0.25">
      <c r="A101" t="s">
        <v>166</v>
      </c>
      <c r="B101" t="s">
        <v>36</v>
      </c>
      <c r="C101">
        <v>1</v>
      </c>
      <c r="D101">
        <v>297110000</v>
      </c>
      <c r="E101">
        <v>2768470000</v>
      </c>
      <c r="F101">
        <v>61330000</v>
      </c>
      <c r="G101">
        <v>2372</v>
      </c>
      <c r="H101">
        <v>6.7400000000000002E-2</v>
      </c>
      <c r="I101" t="b">
        <v>0</v>
      </c>
      <c r="J101">
        <v>2002</v>
      </c>
      <c r="K101" t="s">
        <v>29</v>
      </c>
      <c r="L101" t="s">
        <v>12</v>
      </c>
      <c r="M101">
        <v>9.32</v>
      </c>
      <c r="N101">
        <v>25856</v>
      </c>
      <c r="O101">
        <v>23</v>
      </c>
      <c r="P101" t="str">
        <f>IF('Funding Insights'!$D$5="Industry",Table_startup_data_13[[#This Row],[Industry]],Table_startup_data_13[[#This Row],[Region]])</f>
        <v>Cybersecurity</v>
      </c>
    </row>
    <row r="102" spans="1:16" x14ac:dyDescent="0.25">
      <c r="A102" t="s">
        <v>168</v>
      </c>
      <c r="B102" t="s">
        <v>22</v>
      </c>
      <c r="C102">
        <v>5</v>
      </c>
      <c r="D102">
        <v>56050000</v>
      </c>
      <c r="E102">
        <v>169890000</v>
      </c>
      <c r="F102">
        <v>84710000</v>
      </c>
      <c r="G102">
        <v>281</v>
      </c>
      <c r="H102">
        <v>5.5399999999999998E-2</v>
      </c>
      <c r="I102" t="b">
        <v>1</v>
      </c>
      <c r="J102">
        <v>1991</v>
      </c>
      <c r="K102" t="s">
        <v>29</v>
      </c>
      <c r="L102" t="s">
        <v>12</v>
      </c>
      <c r="M102">
        <v>3.03</v>
      </c>
      <c r="N102">
        <v>301459</v>
      </c>
      <c r="O102">
        <v>34</v>
      </c>
      <c r="P102" t="str">
        <f>IF('Funding Insights'!$D$5="Industry",Table_startup_data_13[[#This Row],[Industry]],Table_startup_data_13[[#This Row],[Region]])</f>
        <v>AI</v>
      </c>
    </row>
    <row r="103" spans="1:16" x14ac:dyDescent="0.25">
      <c r="A103" t="s">
        <v>186</v>
      </c>
      <c r="B103" t="s">
        <v>27</v>
      </c>
      <c r="C103">
        <v>2</v>
      </c>
      <c r="D103">
        <v>89450000</v>
      </c>
      <c r="E103">
        <v>429040000</v>
      </c>
      <c r="F103">
        <v>54530000</v>
      </c>
      <c r="G103">
        <v>1093</v>
      </c>
      <c r="H103">
        <v>4.3499999999999997E-2</v>
      </c>
      <c r="I103" t="b">
        <v>0</v>
      </c>
      <c r="J103">
        <v>2001</v>
      </c>
      <c r="K103" t="s">
        <v>29</v>
      </c>
      <c r="L103" t="s">
        <v>12</v>
      </c>
      <c r="M103">
        <v>4.8</v>
      </c>
      <c r="N103">
        <v>49890</v>
      </c>
      <c r="O103">
        <v>24</v>
      </c>
      <c r="P103" t="str">
        <f>IF('Funding Insights'!$D$5="Industry",Table_startup_data_13[[#This Row],[Industry]],Table_startup_data_13[[#This Row],[Region]])</f>
        <v>HealthTech</v>
      </c>
    </row>
    <row r="104" spans="1:16" x14ac:dyDescent="0.25">
      <c r="A104" t="s">
        <v>194</v>
      </c>
      <c r="B104" t="s">
        <v>10</v>
      </c>
      <c r="C104">
        <v>5</v>
      </c>
      <c r="D104">
        <v>117790000</v>
      </c>
      <c r="E104">
        <v>794760000</v>
      </c>
      <c r="F104">
        <v>94670000</v>
      </c>
      <c r="G104">
        <v>2240</v>
      </c>
      <c r="H104">
        <v>8.8099999999999998E-2</v>
      </c>
      <c r="I104" t="b">
        <v>0</v>
      </c>
      <c r="J104">
        <v>1992</v>
      </c>
      <c r="K104" t="s">
        <v>29</v>
      </c>
      <c r="L104" t="s">
        <v>12</v>
      </c>
      <c r="M104">
        <v>6.75</v>
      </c>
      <c r="N104">
        <v>42263</v>
      </c>
      <c r="O104">
        <v>33</v>
      </c>
      <c r="P104" t="str">
        <f>IF('Funding Insights'!$D$5="Industry",Table_startup_data_13[[#This Row],[Industry]],Table_startup_data_13[[#This Row],[Region]])</f>
        <v>IoT</v>
      </c>
    </row>
    <row r="105" spans="1:16" x14ac:dyDescent="0.25">
      <c r="A105" t="s">
        <v>195</v>
      </c>
      <c r="B105" t="s">
        <v>22</v>
      </c>
      <c r="C105">
        <v>2</v>
      </c>
      <c r="D105">
        <v>37770000</v>
      </c>
      <c r="E105">
        <v>217670000</v>
      </c>
      <c r="F105">
        <v>56060000</v>
      </c>
      <c r="G105">
        <v>205</v>
      </c>
      <c r="H105">
        <v>8.1100000000000005E-2</v>
      </c>
      <c r="I105" t="b">
        <v>0</v>
      </c>
      <c r="J105">
        <v>2004</v>
      </c>
      <c r="K105" t="s">
        <v>29</v>
      </c>
      <c r="L105" t="s">
        <v>12</v>
      </c>
      <c r="M105">
        <v>5.76</v>
      </c>
      <c r="N105">
        <v>273463</v>
      </c>
      <c r="O105">
        <v>21</v>
      </c>
      <c r="P105" t="str">
        <f>IF('Funding Insights'!$D$5="Industry",Table_startup_data_13[[#This Row],[Industry]],Table_startup_data_13[[#This Row],[Region]])</f>
        <v>AI</v>
      </c>
    </row>
    <row r="106" spans="1:16" x14ac:dyDescent="0.25">
      <c r="A106" t="s">
        <v>211</v>
      </c>
      <c r="B106" t="s">
        <v>36</v>
      </c>
      <c r="C106">
        <v>1</v>
      </c>
      <c r="D106">
        <v>36540000</v>
      </c>
      <c r="E106">
        <v>374120000</v>
      </c>
      <c r="F106">
        <v>9490000</v>
      </c>
      <c r="G106">
        <v>914</v>
      </c>
      <c r="H106">
        <v>3.9699999999999999E-2</v>
      </c>
      <c r="I106" t="b">
        <v>0</v>
      </c>
      <c r="J106">
        <v>2008</v>
      </c>
      <c r="K106" t="s">
        <v>29</v>
      </c>
      <c r="L106" t="s">
        <v>12</v>
      </c>
      <c r="M106">
        <v>10.24</v>
      </c>
      <c r="N106">
        <v>10383</v>
      </c>
      <c r="O106">
        <v>17</v>
      </c>
      <c r="P106" t="str">
        <f>IF('Funding Insights'!$D$5="Industry",Table_startup_data_13[[#This Row],[Industry]],Table_startup_data_13[[#This Row],[Region]])</f>
        <v>Cybersecurity</v>
      </c>
    </row>
    <row r="107" spans="1:16" x14ac:dyDescent="0.25">
      <c r="A107" t="s">
        <v>227</v>
      </c>
      <c r="B107" t="s">
        <v>22</v>
      </c>
      <c r="C107">
        <v>2</v>
      </c>
      <c r="D107">
        <v>269280000</v>
      </c>
      <c r="E107">
        <v>1684010000</v>
      </c>
      <c r="F107">
        <v>50750000</v>
      </c>
      <c r="G107">
        <v>2956</v>
      </c>
      <c r="H107">
        <v>7.8700000000000006E-2</v>
      </c>
      <c r="I107" t="b">
        <v>0</v>
      </c>
      <c r="J107">
        <v>2012</v>
      </c>
      <c r="K107" t="s">
        <v>29</v>
      </c>
      <c r="L107" t="s">
        <v>12</v>
      </c>
      <c r="M107">
        <v>6.25</v>
      </c>
      <c r="N107">
        <v>17168</v>
      </c>
      <c r="O107">
        <v>13</v>
      </c>
      <c r="P107" t="str">
        <f>IF('Funding Insights'!$D$5="Industry",Table_startup_data_13[[#This Row],[Industry]],Table_startup_data_13[[#This Row],[Region]])</f>
        <v>AI</v>
      </c>
    </row>
    <row r="108" spans="1:16" x14ac:dyDescent="0.25">
      <c r="A108" t="s">
        <v>228</v>
      </c>
      <c r="B108" t="s">
        <v>18</v>
      </c>
      <c r="C108">
        <v>2</v>
      </c>
      <c r="D108">
        <v>139280000</v>
      </c>
      <c r="E108">
        <v>1408640000</v>
      </c>
      <c r="F108">
        <v>59850000</v>
      </c>
      <c r="G108">
        <v>1243</v>
      </c>
      <c r="H108">
        <v>7.3599999999999999E-2</v>
      </c>
      <c r="I108" t="b">
        <v>0</v>
      </c>
      <c r="J108">
        <v>2000</v>
      </c>
      <c r="K108" t="s">
        <v>29</v>
      </c>
      <c r="L108" t="s">
        <v>12</v>
      </c>
      <c r="M108">
        <v>10.11</v>
      </c>
      <c r="N108">
        <v>48150</v>
      </c>
      <c r="O108">
        <v>25</v>
      </c>
      <c r="P108" t="str">
        <f>IF('Funding Insights'!$D$5="Industry",Table_startup_data_13[[#This Row],[Industry]],Table_startup_data_13[[#This Row],[Region]])</f>
        <v>Gaming</v>
      </c>
    </row>
    <row r="109" spans="1:16" x14ac:dyDescent="0.25">
      <c r="A109" t="s">
        <v>229</v>
      </c>
      <c r="B109" t="s">
        <v>14</v>
      </c>
      <c r="C109">
        <v>3</v>
      </c>
      <c r="D109">
        <v>187070000</v>
      </c>
      <c r="E109">
        <v>2088000000</v>
      </c>
      <c r="F109">
        <v>3440000</v>
      </c>
      <c r="G109">
        <v>978</v>
      </c>
      <c r="H109">
        <v>1.2500000000000001E-2</v>
      </c>
      <c r="I109" t="b">
        <v>0</v>
      </c>
      <c r="J109">
        <v>2011</v>
      </c>
      <c r="K109" t="s">
        <v>29</v>
      </c>
      <c r="L109" t="s">
        <v>12</v>
      </c>
      <c r="M109">
        <v>11.16</v>
      </c>
      <c r="N109">
        <v>3517</v>
      </c>
      <c r="O109">
        <v>14</v>
      </c>
      <c r="P109" t="str">
        <f>IF('Funding Insights'!$D$5="Industry",Table_startup_data_13[[#This Row],[Industry]],Table_startup_data_13[[#This Row],[Region]])</f>
        <v>EdTech</v>
      </c>
    </row>
    <row r="110" spans="1:16" x14ac:dyDescent="0.25">
      <c r="A110" t="s">
        <v>236</v>
      </c>
      <c r="B110" t="s">
        <v>31</v>
      </c>
      <c r="C110">
        <v>5</v>
      </c>
      <c r="D110">
        <v>82250000</v>
      </c>
      <c r="E110">
        <v>1229290000</v>
      </c>
      <c r="F110">
        <v>85700000</v>
      </c>
      <c r="G110">
        <v>3883</v>
      </c>
      <c r="H110">
        <v>9.1600000000000001E-2</v>
      </c>
      <c r="I110" t="b">
        <v>0</v>
      </c>
      <c r="J110">
        <v>1993</v>
      </c>
      <c r="K110" t="s">
        <v>29</v>
      </c>
      <c r="L110" t="s">
        <v>12</v>
      </c>
      <c r="M110">
        <v>14.95</v>
      </c>
      <c r="N110">
        <v>22071</v>
      </c>
      <c r="O110">
        <v>32</v>
      </c>
      <c r="P110" t="str">
        <f>IF('Funding Insights'!$D$5="Industry",Table_startup_data_13[[#This Row],[Industry]],Table_startup_data_13[[#This Row],[Region]])</f>
        <v>FinTech</v>
      </c>
    </row>
    <row r="111" spans="1:16" x14ac:dyDescent="0.25">
      <c r="A111" t="s">
        <v>238</v>
      </c>
      <c r="B111" t="s">
        <v>72</v>
      </c>
      <c r="C111">
        <v>3</v>
      </c>
      <c r="D111">
        <v>13790000</v>
      </c>
      <c r="E111">
        <v>96570000</v>
      </c>
      <c r="F111">
        <v>74000000</v>
      </c>
      <c r="G111">
        <v>441</v>
      </c>
      <c r="H111">
        <v>4.5600000000000002E-2</v>
      </c>
      <c r="I111" t="b">
        <v>0</v>
      </c>
      <c r="J111">
        <v>2019</v>
      </c>
      <c r="K111" t="s">
        <v>29</v>
      </c>
      <c r="L111" t="s">
        <v>12</v>
      </c>
      <c r="M111">
        <v>7</v>
      </c>
      <c r="N111">
        <v>167800</v>
      </c>
      <c r="O111">
        <v>6</v>
      </c>
      <c r="P111" t="str">
        <f>IF('Funding Insights'!$D$5="Industry",Table_startup_data_13[[#This Row],[Industry]],Table_startup_data_13[[#This Row],[Region]])</f>
        <v>E-Commerce</v>
      </c>
    </row>
    <row r="112" spans="1:16" x14ac:dyDescent="0.25">
      <c r="A112" t="s">
        <v>250</v>
      </c>
      <c r="B112" t="s">
        <v>14</v>
      </c>
      <c r="C112">
        <v>3</v>
      </c>
      <c r="D112">
        <v>288660000</v>
      </c>
      <c r="E112">
        <v>4264900000</v>
      </c>
      <c r="F112">
        <v>9390000</v>
      </c>
      <c r="G112">
        <v>1016</v>
      </c>
      <c r="H112">
        <v>5.2200000000000003E-2</v>
      </c>
      <c r="I112" t="b">
        <v>0</v>
      </c>
      <c r="J112">
        <v>2006</v>
      </c>
      <c r="K112" t="s">
        <v>29</v>
      </c>
      <c r="L112" t="s">
        <v>12</v>
      </c>
      <c r="M112">
        <v>14.77</v>
      </c>
      <c r="N112">
        <v>9242</v>
      </c>
      <c r="O112">
        <v>19</v>
      </c>
      <c r="P112" t="str">
        <f>IF('Funding Insights'!$D$5="Industry",Table_startup_data_13[[#This Row],[Industry]],Table_startup_data_13[[#This Row],[Region]])</f>
        <v>EdTech</v>
      </c>
    </row>
    <row r="113" spans="1:16" x14ac:dyDescent="0.25">
      <c r="A113" t="s">
        <v>253</v>
      </c>
      <c r="B113" t="s">
        <v>14</v>
      </c>
      <c r="C113">
        <v>3</v>
      </c>
      <c r="D113">
        <v>297450000</v>
      </c>
      <c r="E113">
        <v>1320070000</v>
      </c>
      <c r="F113">
        <v>21050000</v>
      </c>
      <c r="G113">
        <v>1233</v>
      </c>
      <c r="H113">
        <v>5.5399999999999998E-2</v>
      </c>
      <c r="I113" t="b">
        <v>0</v>
      </c>
      <c r="J113">
        <v>2005</v>
      </c>
      <c r="K113" t="s">
        <v>29</v>
      </c>
      <c r="L113" t="s">
        <v>12</v>
      </c>
      <c r="M113">
        <v>4.4400000000000004</v>
      </c>
      <c r="N113">
        <v>17072</v>
      </c>
      <c r="O113">
        <v>20</v>
      </c>
      <c r="P113" t="str">
        <f>IF('Funding Insights'!$D$5="Industry",Table_startup_data_13[[#This Row],[Industry]],Table_startup_data_13[[#This Row],[Region]])</f>
        <v>EdTech</v>
      </c>
    </row>
    <row r="114" spans="1:16" x14ac:dyDescent="0.25">
      <c r="A114" t="s">
        <v>258</v>
      </c>
      <c r="B114" t="s">
        <v>18</v>
      </c>
      <c r="C114">
        <v>5</v>
      </c>
      <c r="D114">
        <v>171610000</v>
      </c>
      <c r="E114">
        <v>1016600000</v>
      </c>
      <c r="F114">
        <v>91830000</v>
      </c>
      <c r="G114">
        <v>4454</v>
      </c>
      <c r="H114">
        <v>9.2600000000000002E-2</v>
      </c>
      <c r="I114" t="b">
        <v>0</v>
      </c>
      <c r="J114">
        <v>2010</v>
      </c>
      <c r="K114" t="s">
        <v>29</v>
      </c>
      <c r="L114" t="s">
        <v>12</v>
      </c>
      <c r="M114">
        <v>5.92</v>
      </c>
      <c r="N114">
        <v>20617</v>
      </c>
      <c r="O114">
        <v>15</v>
      </c>
      <c r="P114" t="str">
        <f>IF('Funding Insights'!$D$5="Industry",Table_startup_data_13[[#This Row],[Industry]],Table_startup_data_13[[#This Row],[Region]])</f>
        <v>Gaming</v>
      </c>
    </row>
    <row r="115" spans="1:16" x14ac:dyDescent="0.25">
      <c r="A115" t="s">
        <v>263</v>
      </c>
      <c r="B115" t="s">
        <v>14</v>
      </c>
      <c r="C115">
        <v>1</v>
      </c>
      <c r="D115">
        <v>156620000</v>
      </c>
      <c r="E115">
        <v>2094990000</v>
      </c>
      <c r="F115">
        <v>65200000</v>
      </c>
      <c r="G115">
        <v>3802</v>
      </c>
      <c r="H115">
        <v>1.01E-2</v>
      </c>
      <c r="I115" t="b">
        <v>0</v>
      </c>
      <c r="J115">
        <v>2020</v>
      </c>
      <c r="K115" t="s">
        <v>29</v>
      </c>
      <c r="L115" t="s">
        <v>12</v>
      </c>
      <c r="M115">
        <v>13.38</v>
      </c>
      <c r="N115">
        <v>17149</v>
      </c>
      <c r="O115">
        <v>5</v>
      </c>
      <c r="P115" t="str">
        <f>IF('Funding Insights'!$D$5="Industry",Table_startup_data_13[[#This Row],[Industry]],Table_startup_data_13[[#This Row],[Region]])</f>
        <v>EdTech</v>
      </c>
    </row>
    <row r="116" spans="1:16" x14ac:dyDescent="0.25">
      <c r="A116" t="s">
        <v>265</v>
      </c>
      <c r="B116" t="s">
        <v>10</v>
      </c>
      <c r="C116">
        <v>1</v>
      </c>
      <c r="D116">
        <v>73960000</v>
      </c>
      <c r="E116">
        <v>671710000</v>
      </c>
      <c r="F116">
        <v>25510000</v>
      </c>
      <c r="G116">
        <v>3419</v>
      </c>
      <c r="H116">
        <v>6.4500000000000002E-2</v>
      </c>
      <c r="I116" t="b">
        <v>0</v>
      </c>
      <c r="J116">
        <v>2022</v>
      </c>
      <c r="K116" t="s">
        <v>29</v>
      </c>
      <c r="L116" t="s">
        <v>12</v>
      </c>
      <c r="M116">
        <v>9.08</v>
      </c>
      <c r="N116">
        <v>7461</v>
      </c>
      <c r="O116">
        <v>3</v>
      </c>
      <c r="P116" t="str">
        <f>IF('Funding Insights'!$D$5="Industry",Table_startup_data_13[[#This Row],[Industry]],Table_startup_data_13[[#This Row],[Region]])</f>
        <v>IoT</v>
      </c>
    </row>
    <row r="117" spans="1:16" x14ac:dyDescent="0.25">
      <c r="A117" t="s">
        <v>267</v>
      </c>
      <c r="B117" t="s">
        <v>31</v>
      </c>
      <c r="C117">
        <v>1</v>
      </c>
      <c r="D117">
        <v>48540000</v>
      </c>
      <c r="E117">
        <v>182380000</v>
      </c>
      <c r="F117">
        <v>87990000</v>
      </c>
      <c r="G117">
        <v>2442</v>
      </c>
      <c r="H117">
        <v>3.7999999999999999E-2</v>
      </c>
      <c r="I117" t="b">
        <v>1</v>
      </c>
      <c r="J117">
        <v>2017</v>
      </c>
      <c r="K117" t="s">
        <v>29</v>
      </c>
      <c r="L117" t="s">
        <v>12</v>
      </c>
      <c r="M117">
        <v>3.76</v>
      </c>
      <c r="N117">
        <v>36032</v>
      </c>
      <c r="O117">
        <v>8</v>
      </c>
      <c r="P117" t="str">
        <f>IF('Funding Insights'!$D$5="Industry",Table_startup_data_13[[#This Row],[Industry]],Table_startup_data_13[[#This Row],[Region]])</f>
        <v>FinTech</v>
      </c>
    </row>
    <row r="118" spans="1:16" x14ac:dyDescent="0.25">
      <c r="A118" t="s">
        <v>272</v>
      </c>
      <c r="B118" t="s">
        <v>10</v>
      </c>
      <c r="C118">
        <v>5</v>
      </c>
      <c r="D118">
        <v>209850000</v>
      </c>
      <c r="E118">
        <v>1501660000</v>
      </c>
      <c r="F118">
        <v>71940000</v>
      </c>
      <c r="G118">
        <v>4237</v>
      </c>
      <c r="H118">
        <v>5.2999999999999999E-2</v>
      </c>
      <c r="I118" t="b">
        <v>0</v>
      </c>
      <c r="J118">
        <v>1991</v>
      </c>
      <c r="K118" t="s">
        <v>29</v>
      </c>
      <c r="L118" t="s">
        <v>12</v>
      </c>
      <c r="M118">
        <v>7.16</v>
      </c>
      <c r="N118">
        <v>16979</v>
      </c>
      <c r="O118">
        <v>34</v>
      </c>
      <c r="P118" t="str">
        <f>IF('Funding Insights'!$D$5="Industry",Table_startup_data_13[[#This Row],[Industry]],Table_startup_data_13[[#This Row],[Region]])</f>
        <v>IoT</v>
      </c>
    </row>
    <row r="119" spans="1:16" x14ac:dyDescent="0.25">
      <c r="A119" t="s">
        <v>280</v>
      </c>
      <c r="B119" t="s">
        <v>36</v>
      </c>
      <c r="C119">
        <v>4</v>
      </c>
      <c r="D119">
        <v>68970000</v>
      </c>
      <c r="E119">
        <v>857660000</v>
      </c>
      <c r="F119">
        <v>73830000</v>
      </c>
      <c r="G119">
        <v>3497</v>
      </c>
      <c r="H119">
        <v>9.4E-2</v>
      </c>
      <c r="I119" t="b">
        <v>1</v>
      </c>
      <c r="J119">
        <v>2001</v>
      </c>
      <c r="K119" t="s">
        <v>29</v>
      </c>
      <c r="L119" t="s">
        <v>12</v>
      </c>
      <c r="M119">
        <v>12.44</v>
      </c>
      <c r="N119">
        <v>21112</v>
      </c>
      <c r="O119">
        <v>24</v>
      </c>
      <c r="P119" t="str">
        <f>IF('Funding Insights'!$D$5="Industry",Table_startup_data_13[[#This Row],[Industry]],Table_startup_data_13[[#This Row],[Region]])</f>
        <v>Cybersecurity</v>
      </c>
    </row>
    <row r="120" spans="1:16" x14ac:dyDescent="0.25">
      <c r="A120" t="s">
        <v>283</v>
      </c>
      <c r="B120" t="s">
        <v>22</v>
      </c>
      <c r="C120">
        <v>2</v>
      </c>
      <c r="D120">
        <v>167080000</v>
      </c>
      <c r="E120">
        <v>1285270000</v>
      </c>
      <c r="F120">
        <v>25470000</v>
      </c>
      <c r="G120">
        <v>1953</v>
      </c>
      <c r="H120">
        <v>6.2899999999999998E-2</v>
      </c>
      <c r="I120" t="b">
        <v>1</v>
      </c>
      <c r="J120">
        <v>1991</v>
      </c>
      <c r="K120" t="s">
        <v>29</v>
      </c>
      <c r="L120" t="s">
        <v>12</v>
      </c>
      <c r="M120">
        <v>7.69</v>
      </c>
      <c r="N120">
        <v>13041</v>
      </c>
      <c r="O120">
        <v>34</v>
      </c>
      <c r="P120" t="str">
        <f>IF('Funding Insights'!$D$5="Industry",Table_startup_data_13[[#This Row],[Industry]],Table_startup_data_13[[#This Row],[Region]])</f>
        <v>AI</v>
      </c>
    </row>
    <row r="121" spans="1:16" x14ac:dyDescent="0.25">
      <c r="A121" t="s">
        <v>288</v>
      </c>
      <c r="B121" t="s">
        <v>31</v>
      </c>
      <c r="C121">
        <v>1</v>
      </c>
      <c r="D121">
        <v>98270000</v>
      </c>
      <c r="E121">
        <v>1089980000</v>
      </c>
      <c r="F121">
        <v>480000</v>
      </c>
      <c r="G121">
        <v>3801</v>
      </c>
      <c r="H121">
        <v>9.3700000000000006E-2</v>
      </c>
      <c r="I121" t="b">
        <v>1</v>
      </c>
      <c r="J121">
        <v>2017</v>
      </c>
      <c r="K121" t="s">
        <v>29</v>
      </c>
      <c r="L121" t="s">
        <v>12</v>
      </c>
      <c r="M121">
        <v>11.09</v>
      </c>
      <c r="N121">
        <v>126</v>
      </c>
      <c r="O121">
        <v>8</v>
      </c>
      <c r="P121" t="str">
        <f>IF('Funding Insights'!$D$5="Industry",Table_startup_data_13[[#This Row],[Industry]],Table_startup_data_13[[#This Row],[Region]])</f>
        <v>FinTech</v>
      </c>
    </row>
    <row r="122" spans="1:16" x14ac:dyDescent="0.25">
      <c r="A122" t="s">
        <v>290</v>
      </c>
      <c r="B122" t="s">
        <v>27</v>
      </c>
      <c r="C122">
        <v>3</v>
      </c>
      <c r="D122">
        <v>35200000</v>
      </c>
      <c r="E122">
        <v>410330000</v>
      </c>
      <c r="F122">
        <v>16800000</v>
      </c>
      <c r="G122">
        <v>239</v>
      </c>
      <c r="H122">
        <v>9.4E-2</v>
      </c>
      <c r="I122" t="b">
        <v>1</v>
      </c>
      <c r="J122">
        <v>2021</v>
      </c>
      <c r="K122" t="s">
        <v>29</v>
      </c>
      <c r="L122" t="s">
        <v>12</v>
      </c>
      <c r="M122">
        <v>11.66</v>
      </c>
      <c r="N122">
        <v>70293</v>
      </c>
      <c r="O122">
        <v>4</v>
      </c>
      <c r="P122" t="str">
        <f>IF('Funding Insights'!$D$5="Industry",Table_startup_data_13[[#This Row],[Industry]],Table_startup_data_13[[#This Row],[Region]])</f>
        <v>HealthTech</v>
      </c>
    </row>
    <row r="123" spans="1:16" x14ac:dyDescent="0.25">
      <c r="A123" t="s">
        <v>292</v>
      </c>
      <c r="B123" t="s">
        <v>18</v>
      </c>
      <c r="C123">
        <v>1</v>
      </c>
      <c r="D123">
        <v>3220000</v>
      </c>
      <c r="E123">
        <v>17850000</v>
      </c>
      <c r="F123">
        <v>99180000</v>
      </c>
      <c r="G123">
        <v>3612</v>
      </c>
      <c r="H123">
        <v>7.2800000000000004E-2</v>
      </c>
      <c r="I123" t="b">
        <v>1</v>
      </c>
      <c r="J123">
        <v>2022</v>
      </c>
      <c r="K123" t="s">
        <v>29</v>
      </c>
      <c r="L123" t="s">
        <v>12</v>
      </c>
      <c r="M123">
        <v>5.54</v>
      </c>
      <c r="N123">
        <v>27458</v>
      </c>
      <c r="O123">
        <v>3</v>
      </c>
      <c r="P123" t="str">
        <f>IF('Funding Insights'!$D$5="Industry",Table_startup_data_13[[#This Row],[Industry]],Table_startup_data_13[[#This Row],[Region]])</f>
        <v>Gaming</v>
      </c>
    </row>
    <row r="124" spans="1:16" x14ac:dyDescent="0.25">
      <c r="A124" t="s">
        <v>296</v>
      </c>
      <c r="B124" t="s">
        <v>14</v>
      </c>
      <c r="C124">
        <v>2</v>
      </c>
      <c r="D124">
        <v>6020000</v>
      </c>
      <c r="E124">
        <v>29170000</v>
      </c>
      <c r="F124">
        <v>86650000</v>
      </c>
      <c r="G124">
        <v>4893</v>
      </c>
      <c r="H124">
        <v>6.6799999999999998E-2</v>
      </c>
      <c r="I124" t="b">
        <v>1</v>
      </c>
      <c r="J124">
        <v>2009</v>
      </c>
      <c r="K124" t="s">
        <v>29</v>
      </c>
      <c r="L124" t="s">
        <v>12</v>
      </c>
      <c r="M124">
        <v>4.8499999999999996</v>
      </c>
      <c r="N124">
        <v>17709</v>
      </c>
      <c r="O124">
        <v>16</v>
      </c>
      <c r="P124" t="str">
        <f>IF('Funding Insights'!$D$5="Industry",Table_startup_data_13[[#This Row],[Industry]],Table_startup_data_13[[#This Row],[Region]])</f>
        <v>EdTech</v>
      </c>
    </row>
    <row r="125" spans="1:16" x14ac:dyDescent="0.25">
      <c r="A125" t="s">
        <v>301</v>
      </c>
      <c r="B125" t="s">
        <v>22</v>
      </c>
      <c r="C125">
        <v>4</v>
      </c>
      <c r="D125">
        <v>226230000</v>
      </c>
      <c r="E125">
        <v>2240120000</v>
      </c>
      <c r="F125">
        <v>40890000</v>
      </c>
      <c r="G125">
        <v>1129</v>
      </c>
      <c r="H125">
        <v>9.2999999999999992E-3</v>
      </c>
      <c r="I125" t="b">
        <v>1</v>
      </c>
      <c r="J125">
        <v>2014</v>
      </c>
      <c r="K125" t="s">
        <v>29</v>
      </c>
      <c r="L125" t="s">
        <v>12</v>
      </c>
      <c r="M125">
        <v>9.9</v>
      </c>
      <c r="N125">
        <v>36218</v>
      </c>
      <c r="O125">
        <v>11</v>
      </c>
      <c r="P125" t="str">
        <f>IF('Funding Insights'!$D$5="Industry",Table_startup_data_13[[#This Row],[Industry]],Table_startup_data_13[[#This Row],[Region]])</f>
        <v>AI</v>
      </c>
    </row>
    <row r="126" spans="1:16" x14ac:dyDescent="0.25">
      <c r="A126" t="s">
        <v>303</v>
      </c>
      <c r="B126" t="s">
        <v>18</v>
      </c>
      <c r="C126">
        <v>3</v>
      </c>
      <c r="D126">
        <v>52540000</v>
      </c>
      <c r="E126">
        <v>355420000</v>
      </c>
      <c r="F126">
        <v>90370000</v>
      </c>
      <c r="G126">
        <v>1028</v>
      </c>
      <c r="H126">
        <v>8.6300000000000002E-2</v>
      </c>
      <c r="I126" t="b">
        <v>1</v>
      </c>
      <c r="J126">
        <v>2001</v>
      </c>
      <c r="K126" t="s">
        <v>29</v>
      </c>
      <c r="L126" t="s">
        <v>12</v>
      </c>
      <c r="M126">
        <v>6.76</v>
      </c>
      <c r="N126">
        <v>87909</v>
      </c>
      <c r="O126">
        <v>24</v>
      </c>
      <c r="P126" t="str">
        <f>IF('Funding Insights'!$D$5="Industry",Table_startup_data_13[[#This Row],[Industry]],Table_startup_data_13[[#This Row],[Region]])</f>
        <v>Gaming</v>
      </c>
    </row>
    <row r="127" spans="1:16" x14ac:dyDescent="0.25">
      <c r="A127" t="s">
        <v>307</v>
      </c>
      <c r="B127" t="s">
        <v>18</v>
      </c>
      <c r="C127">
        <v>3</v>
      </c>
      <c r="D127">
        <v>231410000</v>
      </c>
      <c r="E127">
        <v>2997220000</v>
      </c>
      <c r="F127">
        <v>89890000</v>
      </c>
      <c r="G127">
        <v>231</v>
      </c>
      <c r="H127">
        <v>9.9599999999999994E-2</v>
      </c>
      <c r="I127" t="b">
        <v>1</v>
      </c>
      <c r="J127">
        <v>1998</v>
      </c>
      <c r="K127" t="s">
        <v>29</v>
      </c>
      <c r="L127" t="s">
        <v>12</v>
      </c>
      <c r="M127">
        <v>12.95</v>
      </c>
      <c r="N127">
        <v>389134</v>
      </c>
      <c r="O127">
        <v>27</v>
      </c>
      <c r="P127" t="str">
        <f>IF('Funding Insights'!$D$5="Industry",Table_startup_data_13[[#This Row],[Industry]],Table_startup_data_13[[#This Row],[Region]])</f>
        <v>Gaming</v>
      </c>
    </row>
    <row r="128" spans="1:16" x14ac:dyDescent="0.25">
      <c r="A128" t="s">
        <v>312</v>
      </c>
      <c r="B128" t="s">
        <v>18</v>
      </c>
      <c r="C128">
        <v>5</v>
      </c>
      <c r="D128">
        <v>255800000</v>
      </c>
      <c r="E128">
        <v>1141160000</v>
      </c>
      <c r="F128">
        <v>39040000</v>
      </c>
      <c r="G128">
        <v>2793</v>
      </c>
      <c r="H128">
        <v>2.12E-2</v>
      </c>
      <c r="I128" t="b">
        <v>0</v>
      </c>
      <c r="J128">
        <v>1990</v>
      </c>
      <c r="K128" t="s">
        <v>29</v>
      </c>
      <c r="L128" t="s">
        <v>12</v>
      </c>
      <c r="M128">
        <v>4.46</v>
      </c>
      <c r="N128">
        <v>13978</v>
      </c>
      <c r="O128">
        <v>35</v>
      </c>
      <c r="P128" t="str">
        <f>IF('Funding Insights'!$D$5="Industry",Table_startup_data_13[[#This Row],[Industry]],Table_startup_data_13[[#This Row],[Region]])</f>
        <v>Gaming</v>
      </c>
    </row>
    <row r="129" spans="1:16" x14ac:dyDescent="0.25">
      <c r="A129" t="s">
        <v>317</v>
      </c>
      <c r="B129" t="s">
        <v>14</v>
      </c>
      <c r="C129">
        <v>2</v>
      </c>
      <c r="D129">
        <v>178520000</v>
      </c>
      <c r="E129">
        <v>2199490000</v>
      </c>
      <c r="F129">
        <v>41330000</v>
      </c>
      <c r="G129">
        <v>3242</v>
      </c>
      <c r="H129">
        <v>3.8999999999999998E-3</v>
      </c>
      <c r="I129" t="b">
        <v>0</v>
      </c>
      <c r="J129">
        <v>2003</v>
      </c>
      <c r="K129" t="s">
        <v>29</v>
      </c>
      <c r="L129" t="s">
        <v>12</v>
      </c>
      <c r="M129">
        <v>12.32</v>
      </c>
      <c r="N129">
        <v>12748</v>
      </c>
      <c r="O129">
        <v>22</v>
      </c>
      <c r="P129" t="str">
        <f>IF('Funding Insights'!$D$5="Industry",Table_startup_data_13[[#This Row],[Industry]],Table_startup_data_13[[#This Row],[Region]])</f>
        <v>EdTech</v>
      </c>
    </row>
    <row r="130" spans="1:16" x14ac:dyDescent="0.25">
      <c r="A130" t="s">
        <v>321</v>
      </c>
      <c r="B130" t="s">
        <v>14</v>
      </c>
      <c r="C130">
        <v>2</v>
      </c>
      <c r="D130">
        <v>111860000</v>
      </c>
      <c r="E130">
        <v>1511590000</v>
      </c>
      <c r="F130">
        <v>42200000</v>
      </c>
      <c r="G130">
        <v>3176</v>
      </c>
      <c r="H130">
        <v>9.1200000000000003E-2</v>
      </c>
      <c r="I130" t="b">
        <v>0</v>
      </c>
      <c r="J130">
        <v>2001</v>
      </c>
      <c r="K130" t="s">
        <v>29</v>
      </c>
      <c r="L130" t="s">
        <v>12</v>
      </c>
      <c r="M130">
        <v>13.51</v>
      </c>
      <c r="N130">
        <v>13287</v>
      </c>
      <c r="O130">
        <v>24</v>
      </c>
      <c r="P130" t="str">
        <f>IF('Funding Insights'!$D$5="Industry",Table_startup_data_13[[#This Row],[Industry]],Table_startup_data_13[[#This Row],[Region]])</f>
        <v>EdTech</v>
      </c>
    </row>
    <row r="131" spans="1:16" x14ac:dyDescent="0.25">
      <c r="A131" t="s">
        <v>327</v>
      </c>
      <c r="B131" t="s">
        <v>22</v>
      </c>
      <c r="C131">
        <v>1</v>
      </c>
      <c r="D131">
        <v>283320000</v>
      </c>
      <c r="E131">
        <v>2090220000</v>
      </c>
      <c r="F131">
        <v>82620000</v>
      </c>
      <c r="G131">
        <v>3981</v>
      </c>
      <c r="H131">
        <v>3.78E-2</v>
      </c>
      <c r="I131" t="b">
        <v>1</v>
      </c>
      <c r="J131">
        <v>2003</v>
      </c>
      <c r="K131" t="s">
        <v>29</v>
      </c>
      <c r="L131" t="s">
        <v>12</v>
      </c>
      <c r="M131">
        <v>7.38</v>
      </c>
      <c r="N131">
        <v>20754</v>
      </c>
      <c r="O131">
        <v>22</v>
      </c>
      <c r="P131" t="str">
        <f>IF('Funding Insights'!$D$5="Industry",Table_startup_data_13[[#This Row],[Industry]],Table_startup_data_13[[#This Row],[Region]])</f>
        <v>AI</v>
      </c>
    </row>
    <row r="132" spans="1:16" x14ac:dyDescent="0.25">
      <c r="A132" t="s">
        <v>329</v>
      </c>
      <c r="B132" t="s">
        <v>36</v>
      </c>
      <c r="C132">
        <v>1</v>
      </c>
      <c r="D132">
        <v>256340000</v>
      </c>
      <c r="E132">
        <v>2505290000</v>
      </c>
      <c r="F132">
        <v>83960000</v>
      </c>
      <c r="G132">
        <v>780</v>
      </c>
      <c r="H132">
        <v>8.8599999999999998E-2</v>
      </c>
      <c r="I132" t="b">
        <v>0</v>
      </c>
      <c r="J132">
        <v>2013</v>
      </c>
      <c r="K132" t="s">
        <v>29</v>
      </c>
      <c r="L132" t="s">
        <v>12</v>
      </c>
      <c r="M132">
        <v>9.77</v>
      </c>
      <c r="N132">
        <v>107641</v>
      </c>
      <c r="O132">
        <v>12</v>
      </c>
      <c r="P132" t="str">
        <f>IF('Funding Insights'!$D$5="Industry",Table_startup_data_13[[#This Row],[Industry]],Table_startup_data_13[[#This Row],[Region]])</f>
        <v>Cybersecurity</v>
      </c>
    </row>
    <row r="133" spans="1:16" x14ac:dyDescent="0.25">
      <c r="A133" t="s">
        <v>331</v>
      </c>
      <c r="B133" t="s">
        <v>18</v>
      </c>
      <c r="C133">
        <v>2</v>
      </c>
      <c r="D133">
        <v>247860000</v>
      </c>
      <c r="E133">
        <v>1373410000</v>
      </c>
      <c r="F133">
        <v>62170000</v>
      </c>
      <c r="G133">
        <v>3225</v>
      </c>
      <c r="H133">
        <v>4.99E-2</v>
      </c>
      <c r="I133" t="b">
        <v>0</v>
      </c>
      <c r="J133">
        <v>2001</v>
      </c>
      <c r="K133" t="s">
        <v>29</v>
      </c>
      <c r="L133" t="s">
        <v>12</v>
      </c>
      <c r="M133">
        <v>5.54</v>
      </c>
      <c r="N133">
        <v>19278</v>
      </c>
      <c r="O133">
        <v>24</v>
      </c>
      <c r="P133" t="str">
        <f>IF('Funding Insights'!$D$5="Industry",Table_startup_data_13[[#This Row],[Industry]],Table_startup_data_13[[#This Row],[Region]])</f>
        <v>Gaming</v>
      </c>
    </row>
    <row r="134" spans="1:16" x14ac:dyDescent="0.25">
      <c r="A134" t="s">
        <v>336</v>
      </c>
      <c r="B134" t="s">
        <v>27</v>
      </c>
      <c r="C134">
        <v>3</v>
      </c>
      <c r="D134">
        <v>39830000</v>
      </c>
      <c r="E134">
        <v>325170000</v>
      </c>
      <c r="F134">
        <v>45040000</v>
      </c>
      <c r="G134">
        <v>3609</v>
      </c>
      <c r="H134">
        <v>2.6100000000000002E-2</v>
      </c>
      <c r="I134" t="b">
        <v>1</v>
      </c>
      <c r="J134">
        <v>2005</v>
      </c>
      <c r="K134" t="s">
        <v>29</v>
      </c>
      <c r="L134" t="s">
        <v>12</v>
      </c>
      <c r="M134">
        <v>8.16</v>
      </c>
      <c r="N134">
        <v>12480</v>
      </c>
      <c r="O134">
        <v>20</v>
      </c>
      <c r="P134" t="str">
        <f>IF('Funding Insights'!$D$5="Industry",Table_startup_data_13[[#This Row],[Industry]],Table_startup_data_13[[#This Row],[Region]])</f>
        <v>HealthTech</v>
      </c>
    </row>
    <row r="135" spans="1:16" x14ac:dyDescent="0.25">
      <c r="A135" t="s">
        <v>352</v>
      </c>
      <c r="B135" t="s">
        <v>31</v>
      </c>
      <c r="C135">
        <v>2</v>
      </c>
      <c r="D135">
        <v>214620000</v>
      </c>
      <c r="E135">
        <v>2683850000</v>
      </c>
      <c r="F135">
        <v>33110000</v>
      </c>
      <c r="G135">
        <v>2010</v>
      </c>
      <c r="H135">
        <v>8.3500000000000005E-2</v>
      </c>
      <c r="I135" t="b">
        <v>0</v>
      </c>
      <c r="J135">
        <v>1995</v>
      </c>
      <c r="K135" t="s">
        <v>29</v>
      </c>
      <c r="L135" t="s">
        <v>12</v>
      </c>
      <c r="M135">
        <v>12.51</v>
      </c>
      <c r="N135">
        <v>16473</v>
      </c>
      <c r="O135">
        <v>30</v>
      </c>
      <c r="P135" t="str">
        <f>IF('Funding Insights'!$D$5="Industry",Table_startup_data_13[[#This Row],[Industry]],Table_startup_data_13[[#This Row],[Region]])</f>
        <v>FinTech</v>
      </c>
    </row>
    <row r="136" spans="1:16" x14ac:dyDescent="0.25">
      <c r="A136" t="s">
        <v>366</v>
      </c>
      <c r="B136" t="s">
        <v>18</v>
      </c>
      <c r="C136">
        <v>4</v>
      </c>
      <c r="D136">
        <v>290270000</v>
      </c>
      <c r="E136">
        <v>3242810000</v>
      </c>
      <c r="F136">
        <v>48890000</v>
      </c>
      <c r="G136">
        <v>3264</v>
      </c>
      <c r="H136">
        <v>2.18E-2</v>
      </c>
      <c r="I136" t="b">
        <v>1</v>
      </c>
      <c r="J136">
        <v>2004</v>
      </c>
      <c r="K136" t="s">
        <v>29</v>
      </c>
      <c r="L136" t="s">
        <v>12</v>
      </c>
      <c r="M136">
        <v>11.17</v>
      </c>
      <c r="N136">
        <v>14979</v>
      </c>
      <c r="O136">
        <v>21</v>
      </c>
      <c r="P136" t="str">
        <f>IF('Funding Insights'!$D$5="Industry",Table_startup_data_13[[#This Row],[Industry]],Table_startup_data_13[[#This Row],[Region]])</f>
        <v>Gaming</v>
      </c>
    </row>
    <row r="137" spans="1:16" x14ac:dyDescent="0.25">
      <c r="A137" t="s">
        <v>375</v>
      </c>
      <c r="B137" t="s">
        <v>10</v>
      </c>
      <c r="C137">
        <v>3</v>
      </c>
      <c r="D137">
        <v>48670000</v>
      </c>
      <c r="E137">
        <v>362930000</v>
      </c>
      <c r="F137">
        <v>8310000</v>
      </c>
      <c r="G137">
        <v>2156</v>
      </c>
      <c r="H137">
        <v>9.4299999999999995E-2</v>
      </c>
      <c r="I137" t="b">
        <v>1</v>
      </c>
      <c r="J137">
        <v>2009</v>
      </c>
      <c r="K137" t="s">
        <v>29</v>
      </c>
      <c r="L137" t="s">
        <v>12</v>
      </c>
      <c r="M137">
        <v>7.46</v>
      </c>
      <c r="N137">
        <v>3854</v>
      </c>
      <c r="O137">
        <v>16</v>
      </c>
      <c r="P137" t="str">
        <f>IF('Funding Insights'!$D$5="Industry",Table_startup_data_13[[#This Row],[Industry]],Table_startup_data_13[[#This Row],[Region]])</f>
        <v>IoT</v>
      </c>
    </row>
    <row r="138" spans="1:16" x14ac:dyDescent="0.25">
      <c r="A138" t="s">
        <v>379</v>
      </c>
      <c r="B138" t="s">
        <v>10</v>
      </c>
      <c r="C138">
        <v>3</v>
      </c>
      <c r="D138">
        <v>130260000</v>
      </c>
      <c r="E138">
        <v>806600000</v>
      </c>
      <c r="F138">
        <v>34150000</v>
      </c>
      <c r="G138">
        <v>3769</v>
      </c>
      <c r="H138">
        <v>4.5199999999999997E-2</v>
      </c>
      <c r="I138" t="b">
        <v>0</v>
      </c>
      <c r="J138">
        <v>1995</v>
      </c>
      <c r="K138" t="s">
        <v>29</v>
      </c>
      <c r="L138" t="s">
        <v>12</v>
      </c>
      <c r="M138">
        <v>6.19</v>
      </c>
      <c r="N138">
        <v>9061</v>
      </c>
      <c r="O138">
        <v>30</v>
      </c>
      <c r="P138" t="str">
        <f>IF('Funding Insights'!$D$5="Industry",Table_startup_data_13[[#This Row],[Industry]],Table_startup_data_13[[#This Row],[Region]])</f>
        <v>IoT</v>
      </c>
    </row>
    <row r="139" spans="1:16" x14ac:dyDescent="0.25">
      <c r="A139" t="s">
        <v>382</v>
      </c>
      <c r="B139" t="s">
        <v>27</v>
      </c>
      <c r="C139">
        <v>3</v>
      </c>
      <c r="D139">
        <v>139650000</v>
      </c>
      <c r="E139">
        <v>1867950000</v>
      </c>
      <c r="F139">
        <v>94820000</v>
      </c>
      <c r="G139">
        <v>1702</v>
      </c>
      <c r="H139">
        <v>9.2499999999999999E-2</v>
      </c>
      <c r="I139" t="b">
        <v>0</v>
      </c>
      <c r="J139">
        <v>2011</v>
      </c>
      <c r="K139" t="s">
        <v>29</v>
      </c>
      <c r="L139" t="s">
        <v>12</v>
      </c>
      <c r="M139">
        <v>13.38</v>
      </c>
      <c r="N139">
        <v>55711</v>
      </c>
      <c r="O139">
        <v>14</v>
      </c>
      <c r="P139" t="str">
        <f>IF('Funding Insights'!$D$5="Industry",Table_startup_data_13[[#This Row],[Industry]],Table_startup_data_13[[#This Row],[Region]])</f>
        <v>HealthTech</v>
      </c>
    </row>
    <row r="140" spans="1:16" x14ac:dyDescent="0.25">
      <c r="A140" t="s">
        <v>400</v>
      </c>
      <c r="B140" t="s">
        <v>27</v>
      </c>
      <c r="C140">
        <v>2</v>
      </c>
      <c r="D140">
        <v>232850000</v>
      </c>
      <c r="E140">
        <v>3004130000</v>
      </c>
      <c r="F140">
        <v>60450000</v>
      </c>
      <c r="G140">
        <v>4431</v>
      </c>
      <c r="H140">
        <v>8.3099999999999993E-2</v>
      </c>
      <c r="I140" t="b">
        <v>1</v>
      </c>
      <c r="J140">
        <v>1990</v>
      </c>
      <c r="K140" t="s">
        <v>29</v>
      </c>
      <c r="L140" t="s">
        <v>12</v>
      </c>
      <c r="M140">
        <v>12.9</v>
      </c>
      <c r="N140">
        <v>13643</v>
      </c>
      <c r="O140">
        <v>35</v>
      </c>
      <c r="P140" t="str">
        <f>IF('Funding Insights'!$D$5="Industry",Table_startup_data_13[[#This Row],[Industry]],Table_startup_data_13[[#This Row],[Region]])</f>
        <v>HealthTech</v>
      </c>
    </row>
    <row r="141" spans="1:16" x14ac:dyDescent="0.25">
      <c r="A141" t="s">
        <v>403</v>
      </c>
      <c r="B141" t="s">
        <v>14</v>
      </c>
      <c r="C141">
        <v>5</v>
      </c>
      <c r="D141">
        <v>160510000</v>
      </c>
      <c r="E141">
        <v>1348520000</v>
      </c>
      <c r="F141">
        <v>47020000</v>
      </c>
      <c r="G141">
        <v>3580</v>
      </c>
      <c r="H141">
        <v>7.9699999999999993E-2</v>
      </c>
      <c r="I141" t="b">
        <v>1</v>
      </c>
      <c r="J141">
        <v>1991</v>
      </c>
      <c r="K141" t="s">
        <v>29</v>
      </c>
      <c r="L141" t="s">
        <v>12</v>
      </c>
      <c r="M141">
        <v>8.4</v>
      </c>
      <c r="N141">
        <v>13134</v>
      </c>
      <c r="O141">
        <v>34</v>
      </c>
      <c r="P141" t="str">
        <f>IF('Funding Insights'!$D$5="Industry",Table_startup_data_13[[#This Row],[Industry]],Table_startup_data_13[[#This Row],[Region]])</f>
        <v>EdTech</v>
      </c>
    </row>
    <row r="142" spans="1:16" x14ac:dyDescent="0.25">
      <c r="A142" t="s">
        <v>408</v>
      </c>
      <c r="B142" t="s">
        <v>18</v>
      </c>
      <c r="C142">
        <v>5</v>
      </c>
      <c r="D142">
        <v>96970000</v>
      </c>
      <c r="E142">
        <v>413900000</v>
      </c>
      <c r="F142">
        <v>44800000</v>
      </c>
      <c r="G142">
        <v>199</v>
      </c>
      <c r="H142">
        <v>2.3E-3</v>
      </c>
      <c r="I142" t="b">
        <v>0</v>
      </c>
      <c r="J142">
        <v>2018</v>
      </c>
      <c r="K142" t="s">
        <v>29</v>
      </c>
      <c r="L142" t="s">
        <v>12</v>
      </c>
      <c r="M142">
        <v>4.2699999999999996</v>
      </c>
      <c r="N142">
        <v>225126</v>
      </c>
      <c r="O142">
        <v>7</v>
      </c>
      <c r="P142" t="str">
        <f>IF('Funding Insights'!$D$5="Industry",Table_startup_data_13[[#This Row],[Industry]],Table_startup_data_13[[#This Row],[Region]])</f>
        <v>Gaming</v>
      </c>
    </row>
    <row r="143" spans="1:16" x14ac:dyDescent="0.25">
      <c r="A143" t="s">
        <v>425</v>
      </c>
      <c r="B143" t="s">
        <v>14</v>
      </c>
      <c r="C143">
        <v>4</v>
      </c>
      <c r="D143">
        <v>235140000</v>
      </c>
      <c r="E143">
        <v>1706670000</v>
      </c>
      <c r="F143">
        <v>81840000</v>
      </c>
      <c r="G143">
        <v>3876</v>
      </c>
      <c r="H143">
        <v>8.8300000000000003E-2</v>
      </c>
      <c r="I143" t="b">
        <v>0</v>
      </c>
      <c r="J143">
        <v>2008</v>
      </c>
      <c r="K143" t="s">
        <v>29</v>
      </c>
      <c r="L143" t="s">
        <v>12</v>
      </c>
      <c r="M143">
        <v>7.26</v>
      </c>
      <c r="N143">
        <v>21115</v>
      </c>
      <c r="O143">
        <v>17</v>
      </c>
      <c r="P143" t="str">
        <f>IF('Funding Insights'!$D$5="Industry",Table_startup_data_13[[#This Row],[Industry]],Table_startup_data_13[[#This Row],[Region]])</f>
        <v>EdTech</v>
      </c>
    </row>
    <row r="144" spans="1:16" x14ac:dyDescent="0.25">
      <c r="A144" t="s">
        <v>426</v>
      </c>
      <c r="B144" t="s">
        <v>72</v>
      </c>
      <c r="C144">
        <v>1</v>
      </c>
      <c r="D144">
        <v>183870000</v>
      </c>
      <c r="E144">
        <v>1460950000</v>
      </c>
      <c r="F144">
        <v>53210000</v>
      </c>
      <c r="G144">
        <v>282</v>
      </c>
      <c r="H144">
        <v>1.2999999999999999E-2</v>
      </c>
      <c r="I144" t="b">
        <v>0</v>
      </c>
      <c r="J144">
        <v>1997</v>
      </c>
      <c r="K144" t="s">
        <v>29</v>
      </c>
      <c r="L144" t="s">
        <v>12</v>
      </c>
      <c r="M144">
        <v>7.95</v>
      </c>
      <c r="N144">
        <v>188688</v>
      </c>
      <c r="O144">
        <v>28</v>
      </c>
      <c r="P144" t="str">
        <f>IF('Funding Insights'!$D$5="Industry",Table_startup_data_13[[#This Row],[Industry]],Table_startup_data_13[[#This Row],[Region]])</f>
        <v>E-Commerce</v>
      </c>
    </row>
    <row r="145" spans="1:16" x14ac:dyDescent="0.25">
      <c r="A145" t="s">
        <v>442</v>
      </c>
      <c r="B145" t="s">
        <v>72</v>
      </c>
      <c r="C145">
        <v>5</v>
      </c>
      <c r="D145">
        <v>141320000</v>
      </c>
      <c r="E145">
        <v>2051670000</v>
      </c>
      <c r="F145">
        <v>71870000</v>
      </c>
      <c r="G145">
        <v>1728</v>
      </c>
      <c r="H145">
        <v>6.8199999999999997E-2</v>
      </c>
      <c r="I145" t="b">
        <v>1</v>
      </c>
      <c r="J145">
        <v>2016</v>
      </c>
      <c r="K145" t="s">
        <v>29</v>
      </c>
      <c r="L145" t="s">
        <v>12</v>
      </c>
      <c r="M145">
        <v>14.52</v>
      </c>
      <c r="N145">
        <v>41591</v>
      </c>
      <c r="O145">
        <v>9</v>
      </c>
      <c r="P145" t="str">
        <f>IF('Funding Insights'!$D$5="Industry",Table_startup_data_13[[#This Row],[Industry]],Table_startup_data_13[[#This Row],[Region]])</f>
        <v>E-Commerce</v>
      </c>
    </row>
    <row r="146" spans="1:16" x14ac:dyDescent="0.25">
      <c r="A146" t="s">
        <v>444</v>
      </c>
      <c r="B146" t="s">
        <v>18</v>
      </c>
      <c r="C146">
        <v>1</v>
      </c>
      <c r="D146">
        <v>261610000</v>
      </c>
      <c r="E146">
        <v>3597080000</v>
      </c>
      <c r="F146">
        <v>72170000</v>
      </c>
      <c r="G146">
        <v>2611</v>
      </c>
      <c r="H146">
        <v>7.5600000000000001E-2</v>
      </c>
      <c r="I146" t="b">
        <v>0</v>
      </c>
      <c r="J146">
        <v>2008</v>
      </c>
      <c r="K146" t="s">
        <v>29</v>
      </c>
      <c r="L146" t="s">
        <v>12</v>
      </c>
      <c r="M146">
        <v>13.75</v>
      </c>
      <c r="N146">
        <v>27641</v>
      </c>
      <c r="O146">
        <v>17</v>
      </c>
      <c r="P146" t="str">
        <f>IF('Funding Insights'!$D$5="Industry",Table_startup_data_13[[#This Row],[Industry]],Table_startup_data_13[[#This Row],[Region]])</f>
        <v>Gaming</v>
      </c>
    </row>
    <row r="147" spans="1:16" x14ac:dyDescent="0.25">
      <c r="A147" t="s">
        <v>452</v>
      </c>
      <c r="B147" t="s">
        <v>72</v>
      </c>
      <c r="C147">
        <v>1</v>
      </c>
      <c r="D147">
        <v>148240000</v>
      </c>
      <c r="E147">
        <v>1541400000</v>
      </c>
      <c r="F147">
        <v>66560000</v>
      </c>
      <c r="G147">
        <v>1701</v>
      </c>
      <c r="H147">
        <v>5.0099999999999999E-2</v>
      </c>
      <c r="I147" t="b">
        <v>0</v>
      </c>
      <c r="J147">
        <v>2014</v>
      </c>
      <c r="K147" t="s">
        <v>29</v>
      </c>
      <c r="L147" t="s">
        <v>12</v>
      </c>
      <c r="M147">
        <v>10.4</v>
      </c>
      <c r="N147">
        <v>39130</v>
      </c>
      <c r="O147">
        <v>11</v>
      </c>
      <c r="P147" t="str">
        <f>IF('Funding Insights'!$D$5="Industry",Table_startup_data_13[[#This Row],[Industry]],Table_startup_data_13[[#This Row],[Region]])</f>
        <v>E-Commerce</v>
      </c>
    </row>
    <row r="148" spans="1:16" x14ac:dyDescent="0.25">
      <c r="A148" t="s">
        <v>455</v>
      </c>
      <c r="B148" t="s">
        <v>10</v>
      </c>
      <c r="C148">
        <v>1</v>
      </c>
      <c r="D148">
        <v>66560000</v>
      </c>
      <c r="E148">
        <v>288180000</v>
      </c>
      <c r="F148">
        <v>9320000</v>
      </c>
      <c r="G148">
        <v>1951</v>
      </c>
      <c r="H148">
        <v>9.8100000000000007E-2</v>
      </c>
      <c r="I148" t="b">
        <v>1</v>
      </c>
      <c r="J148">
        <v>2001</v>
      </c>
      <c r="K148" t="s">
        <v>29</v>
      </c>
      <c r="L148" t="s">
        <v>12</v>
      </c>
      <c r="M148">
        <v>4.33</v>
      </c>
      <c r="N148">
        <v>4777</v>
      </c>
      <c r="O148">
        <v>24</v>
      </c>
      <c r="P148" t="str">
        <f>IF('Funding Insights'!$D$5="Industry",Table_startup_data_13[[#This Row],[Industry]],Table_startup_data_13[[#This Row],[Region]])</f>
        <v>IoT</v>
      </c>
    </row>
    <row r="149" spans="1:16" x14ac:dyDescent="0.25">
      <c r="A149" t="s">
        <v>460</v>
      </c>
      <c r="B149" t="s">
        <v>22</v>
      </c>
      <c r="C149">
        <v>1</v>
      </c>
      <c r="D149">
        <v>288250000</v>
      </c>
      <c r="E149">
        <v>2209100000</v>
      </c>
      <c r="F149">
        <v>32180000</v>
      </c>
      <c r="G149">
        <v>3650</v>
      </c>
      <c r="H149">
        <v>7.7499999999999999E-2</v>
      </c>
      <c r="I149" t="b">
        <v>0</v>
      </c>
      <c r="J149">
        <v>1993</v>
      </c>
      <c r="K149" t="s">
        <v>29</v>
      </c>
      <c r="L149" t="s">
        <v>12</v>
      </c>
      <c r="M149">
        <v>7.66</v>
      </c>
      <c r="N149">
        <v>8816</v>
      </c>
      <c r="O149">
        <v>32</v>
      </c>
      <c r="P149" t="str">
        <f>IF('Funding Insights'!$D$5="Industry",Table_startup_data_13[[#This Row],[Industry]],Table_startup_data_13[[#This Row],[Region]])</f>
        <v>AI</v>
      </c>
    </row>
    <row r="150" spans="1:16" x14ac:dyDescent="0.25">
      <c r="A150" t="s">
        <v>466</v>
      </c>
      <c r="B150" t="s">
        <v>14</v>
      </c>
      <c r="C150">
        <v>1</v>
      </c>
      <c r="D150">
        <v>151700000</v>
      </c>
      <c r="E150">
        <v>478250000</v>
      </c>
      <c r="F150">
        <v>59910000</v>
      </c>
      <c r="G150">
        <v>1121</v>
      </c>
      <c r="H150">
        <v>4.1399999999999999E-2</v>
      </c>
      <c r="I150" t="b">
        <v>1</v>
      </c>
      <c r="J150">
        <v>2012</v>
      </c>
      <c r="K150" t="s">
        <v>29</v>
      </c>
      <c r="L150" t="s">
        <v>12</v>
      </c>
      <c r="M150">
        <v>3.15</v>
      </c>
      <c r="N150">
        <v>53443</v>
      </c>
      <c r="O150">
        <v>13</v>
      </c>
      <c r="P150" t="str">
        <f>IF('Funding Insights'!$D$5="Industry",Table_startup_data_13[[#This Row],[Industry]],Table_startup_data_13[[#This Row],[Region]])</f>
        <v>EdTech</v>
      </c>
    </row>
    <row r="151" spans="1:16" x14ac:dyDescent="0.25">
      <c r="A151" t="s">
        <v>486</v>
      </c>
      <c r="B151" t="s">
        <v>22</v>
      </c>
      <c r="C151">
        <v>2</v>
      </c>
      <c r="D151">
        <v>189950000</v>
      </c>
      <c r="E151">
        <v>2131920000</v>
      </c>
      <c r="F151">
        <v>46710000</v>
      </c>
      <c r="G151">
        <v>874</v>
      </c>
      <c r="H151">
        <v>6.5100000000000005E-2</v>
      </c>
      <c r="I151" t="b">
        <v>0</v>
      </c>
      <c r="J151">
        <v>2014</v>
      </c>
      <c r="K151" t="s">
        <v>29</v>
      </c>
      <c r="L151" t="s">
        <v>12</v>
      </c>
      <c r="M151">
        <v>11.22</v>
      </c>
      <c r="N151">
        <v>53444</v>
      </c>
      <c r="O151">
        <v>11</v>
      </c>
      <c r="P151" t="str">
        <f>IF('Funding Insights'!$D$5="Industry",Table_startup_data_13[[#This Row],[Industry]],Table_startup_data_13[[#This Row],[Region]])</f>
        <v>AI</v>
      </c>
    </row>
    <row r="152" spans="1:16" x14ac:dyDescent="0.25">
      <c r="A152" t="s">
        <v>492</v>
      </c>
      <c r="B152" t="s">
        <v>36</v>
      </c>
      <c r="C152">
        <v>1</v>
      </c>
      <c r="D152">
        <v>29670000</v>
      </c>
      <c r="E152">
        <v>236200000</v>
      </c>
      <c r="F152">
        <v>7850000</v>
      </c>
      <c r="G152">
        <v>801</v>
      </c>
      <c r="H152">
        <v>1.9E-2</v>
      </c>
      <c r="I152" t="b">
        <v>1</v>
      </c>
      <c r="J152">
        <v>1999</v>
      </c>
      <c r="K152" t="s">
        <v>29</v>
      </c>
      <c r="L152" t="s">
        <v>12</v>
      </c>
      <c r="M152">
        <v>7.96</v>
      </c>
      <c r="N152">
        <v>9800</v>
      </c>
      <c r="O152">
        <v>26</v>
      </c>
      <c r="P152" t="str">
        <f>IF('Funding Insights'!$D$5="Industry",Table_startup_data_13[[#This Row],[Industry]],Table_startup_data_13[[#This Row],[Region]])</f>
        <v>Cybersecurity</v>
      </c>
    </row>
    <row r="153" spans="1:16" x14ac:dyDescent="0.25">
      <c r="A153" t="s">
        <v>495</v>
      </c>
      <c r="B153" t="s">
        <v>18</v>
      </c>
      <c r="C153">
        <v>3</v>
      </c>
      <c r="D153">
        <v>174030000</v>
      </c>
      <c r="E153">
        <v>1800040000</v>
      </c>
      <c r="F153">
        <v>59070000</v>
      </c>
      <c r="G153">
        <v>1301</v>
      </c>
      <c r="H153">
        <v>5.5E-2</v>
      </c>
      <c r="I153" t="b">
        <v>1</v>
      </c>
      <c r="J153">
        <v>2022</v>
      </c>
      <c r="K153" t="s">
        <v>29</v>
      </c>
      <c r="L153" t="s">
        <v>12</v>
      </c>
      <c r="M153">
        <v>10.34</v>
      </c>
      <c r="N153">
        <v>45404</v>
      </c>
      <c r="O153">
        <v>3</v>
      </c>
      <c r="P153" t="str">
        <f>IF('Funding Insights'!$D$5="Industry",Table_startup_data_13[[#This Row],[Industry]],Table_startup_data_13[[#This Row],[Region]])</f>
        <v>Gaming</v>
      </c>
    </row>
    <row r="154" spans="1:16" x14ac:dyDescent="0.25">
      <c r="A154" t="s">
        <v>501</v>
      </c>
      <c r="B154" t="s">
        <v>18</v>
      </c>
      <c r="C154">
        <v>1</v>
      </c>
      <c r="D154">
        <v>257470000</v>
      </c>
      <c r="E154">
        <v>2112700000</v>
      </c>
      <c r="F154">
        <v>9980000</v>
      </c>
      <c r="G154">
        <v>3217</v>
      </c>
      <c r="H154">
        <v>9.4299999999999995E-2</v>
      </c>
      <c r="I154" t="b">
        <v>0</v>
      </c>
      <c r="J154">
        <v>1993</v>
      </c>
      <c r="K154" t="s">
        <v>29</v>
      </c>
      <c r="L154" t="s">
        <v>12</v>
      </c>
      <c r="M154">
        <v>8.2100000000000009</v>
      </c>
      <c r="N154">
        <v>3102</v>
      </c>
      <c r="O154">
        <v>32</v>
      </c>
      <c r="P154" t="str">
        <f>IF('Funding Insights'!$D$5="Industry",Table_startup_data_13[[#This Row],[Industry]],Table_startup_data_13[[#This Row],[Region]])</f>
        <v>Gaming</v>
      </c>
    </row>
    <row r="155" spans="1:16" x14ac:dyDescent="0.25">
      <c r="A155" t="s">
        <v>504</v>
      </c>
      <c r="B155" t="s">
        <v>36</v>
      </c>
      <c r="C155">
        <v>3</v>
      </c>
      <c r="D155">
        <v>179810000</v>
      </c>
      <c r="E155">
        <v>2290960000</v>
      </c>
      <c r="F155">
        <v>37070000</v>
      </c>
      <c r="G155">
        <v>2530</v>
      </c>
      <c r="H155">
        <v>7.9000000000000008E-3</v>
      </c>
      <c r="I155" t="b">
        <v>0</v>
      </c>
      <c r="J155">
        <v>2019</v>
      </c>
      <c r="K155" t="s">
        <v>29</v>
      </c>
      <c r="L155" t="s">
        <v>12</v>
      </c>
      <c r="M155">
        <v>12.74</v>
      </c>
      <c r="N155">
        <v>14652</v>
      </c>
      <c r="O155">
        <v>6</v>
      </c>
      <c r="P155" t="str">
        <f>IF('Funding Insights'!$D$5="Industry",Table_startup_data_13[[#This Row],[Industry]],Table_startup_data_13[[#This Row],[Region]])</f>
        <v>Cybersecurity</v>
      </c>
    </row>
    <row r="156" spans="1:16" x14ac:dyDescent="0.25">
      <c r="A156" t="s">
        <v>506</v>
      </c>
      <c r="B156" t="s">
        <v>18</v>
      </c>
      <c r="C156">
        <v>4</v>
      </c>
      <c r="D156">
        <v>71490000</v>
      </c>
      <c r="E156">
        <v>970650000</v>
      </c>
      <c r="F156">
        <v>39360000</v>
      </c>
      <c r="G156">
        <v>2024</v>
      </c>
      <c r="H156">
        <v>6.1199999999999997E-2</v>
      </c>
      <c r="I156" t="b">
        <v>0</v>
      </c>
      <c r="J156">
        <v>1997</v>
      </c>
      <c r="K156" t="s">
        <v>29</v>
      </c>
      <c r="L156" t="s">
        <v>12</v>
      </c>
      <c r="M156">
        <v>13.58</v>
      </c>
      <c r="N156">
        <v>19447</v>
      </c>
      <c r="O156">
        <v>28</v>
      </c>
      <c r="P156" t="str">
        <f>IF('Funding Insights'!$D$5="Industry",Table_startup_data_13[[#This Row],[Industry]],Table_startup_data_13[[#This Row],[Region]])</f>
        <v>Gaming</v>
      </c>
    </row>
    <row r="157" spans="1:16" x14ac:dyDescent="0.25">
      <c r="A157" t="s">
        <v>516</v>
      </c>
      <c r="B157" t="s">
        <v>72</v>
      </c>
      <c r="C157">
        <v>3</v>
      </c>
      <c r="D157">
        <v>284600000</v>
      </c>
      <c r="E157">
        <v>2135390000</v>
      </c>
      <c r="F157">
        <v>37950000</v>
      </c>
      <c r="G157">
        <v>3624</v>
      </c>
      <c r="H157">
        <v>3.7999999999999999E-2</v>
      </c>
      <c r="I157" t="b">
        <v>1</v>
      </c>
      <c r="J157">
        <v>2020</v>
      </c>
      <c r="K157" t="s">
        <v>29</v>
      </c>
      <c r="L157" t="s">
        <v>12</v>
      </c>
      <c r="M157">
        <v>7.5</v>
      </c>
      <c r="N157">
        <v>10472</v>
      </c>
      <c r="O157">
        <v>5</v>
      </c>
      <c r="P157" t="str">
        <f>IF('Funding Insights'!$D$5="Industry",Table_startup_data_13[[#This Row],[Industry]],Table_startup_data_13[[#This Row],[Region]])</f>
        <v>E-Commerce</v>
      </c>
    </row>
    <row r="158" spans="1:16" x14ac:dyDescent="0.25">
      <c r="A158" t="s">
        <v>518</v>
      </c>
      <c r="B158" t="s">
        <v>72</v>
      </c>
      <c r="C158">
        <v>5</v>
      </c>
      <c r="D158">
        <v>108100000</v>
      </c>
      <c r="E158">
        <v>1004240000</v>
      </c>
      <c r="F158">
        <v>38650000</v>
      </c>
      <c r="G158">
        <v>3588</v>
      </c>
      <c r="H158">
        <v>1.04E-2</v>
      </c>
      <c r="I158" t="b">
        <v>0</v>
      </c>
      <c r="J158">
        <v>2006</v>
      </c>
      <c r="K158" t="s">
        <v>29</v>
      </c>
      <c r="L158" t="s">
        <v>12</v>
      </c>
      <c r="M158">
        <v>9.2899999999999991</v>
      </c>
      <c r="N158">
        <v>10772</v>
      </c>
      <c r="O158">
        <v>19</v>
      </c>
      <c r="P158" t="str">
        <f>IF('Funding Insights'!$D$5="Industry",Table_startup_data_13[[#This Row],[Industry]],Table_startup_data_13[[#This Row],[Region]])</f>
        <v>E-Commerce</v>
      </c>
    </row>
    <row r="159" spans="1:16" x14ac:dyDescent="0.25">
      <c r="A159" t="s">
        <v>524</v>
      </c>
      <c r="B159" t="s">
        <v>27</v>
      </c>
      <c r="C159">
        <v>4</v>
      </c>
      <c r="D159">
        <v>211760000</v>
      </c>
      <c r="E159">
        <v>2563170000</v>
      </c>
      <c r="F159">
        <v>84190000</v>
      </c>
      <c r="G159">
        <v>2374</v>
      </c>
      <c r="H159">
        <v>5.2600000000000001E-2</v>
      </c>
      <c r="I159" t="b">
        <v>0</v>
      </c>
      <c r="J159">
        <v>2000</v>
      </c>
      <c r="K159" t="s">
        <v>29</v>
      </c>
      <c r="L159" t="s">
        <v>12</v>
      </c>
      <c r="M159">
        <v>12.1</v>
      </c>
      <c r="N159">
        <v>35463</v>
      </c>
      <c r="O159">
        <v>25</v>
      </c>
      <c r="P159" t="str">
        <f>IF('Funding Insights'!$D$5="Industry",Table_startup_data_13[[#This Row],[Industry]],Table_startup_data_13[[#This Row],[Region]])</f>
        <v>HealthTech</v>
      </c>
    </row>
    <row r="160" spans="1:16" x14ac:dyDescent="0.25">
      <c r="A160" t="s">
        <v>9</v>
      </c>
      <c r="B160" t="s">
        <v>10</v>
      </c>
      <c r="C160">
        <v>1</v>
      </c>
      <c r="D160">
        <v>101090000</v>
      </c>
      <c r="E160">
        <v>844750000</v>
      </c>
      <c r="F160">
        <v>67870000</v>
      </c>
      <c r="G160">
        <v>1468</v>
      </c>
      <c r="H160">
        <v>5.1999999999999998E-2</v>
      </c>
      <c r="I160" t="b">
        <v>0</v>
      </c>
      <c r="J160">
        <v>2006</v>
      </c>
      <c r="K160" t="s">
        <v>11</v>
      </c>
      <c r="L160" t="s">
        <v>12</v>
      </c>
      <c r="M160">
        <v>8.36</v>
      </c>
      <c r="N160">
        <v>46233</v>
      </c>
      <c r="O160">
        <v>19</v>
      </c>
      <c r="P160" t="str">
        <f>IF('Funding Insights'!$D$5="Industry",Table_startup_data_13[[#This Row],[Industry]],Table_startup_data_13[[#This Row],[Region]])</f>
        <v>IoT</v>
      </c>
    </row>
    <row r="161" spans="1:16" x14ac:dyDescent="0.25">
      <c r="A161" t="s">
        <v>30</v>
      </c>
      <c r="B161" t="s">
        <v>31</v>
      </c>
      <c r="C161">
        <v>3</v>
      </c>
      <c r="D161">
        <v>66240000</v>
      </c>
      <c r="E161">
        <v>707450000</v>
      </c>
      <c r="F161">
        <v>21800000</v>
      </c>
      <c r="G161">
        <v>3655</v>
      </c>
      <c r="H161">
        <v>9.9000000000000005E-2</v>
      </c>
      <c r="I161" t="b">
        <v>0</v>
      </c>
      <c r="J161">
        <v>1995</v>
      </c>
      <c r="K161" t="s">
        <v>11</v>
      </c>
      <c r="L161" t="s">
        <v>12</v>
      </c>
      <c r="M161">
        <v>10.68</v>
      </c>
      <c r="N161">
        <v>5964</v>
      </c>
      <c r="O161">
        <v>30</v>
      </c>
      <c r="P161" t="str">
        <f>IF('Funding Insights'!$D$5="Industry",Table_startup_data_13[[#This Row],[Industry]],Table_startup_data_13[[#This Row],[Region]])</f>
        <v>FinTech</v>
      </c>
    </row>
    <row r="162" spans="1:16" x14ac:dyDescent="0.25">
      <c r="A162" t="s">
        <v>32</v>
      </c>
      <c r="B162" t="s">
        <v>22</v>
      </c>
      <c r="C162">
        <v>5</v>
      </c>
      <c r="D162">
        <v>292380000</v>
      </c>
      <c r="E162">
        <v>1665520000</v>
      </c>
      <c r="F162">
        <v>13870000</v>
      </c>
      <c r="G162">
        <v>4657</v>
      </c>
      <c r="H162">
        <v>9.5500000000000002E-2</v>
      </c>
      <c r="I162" t="b">
        <v>0</v>
      </c>
      <c r="J162">
        <v>1994</v>
      </c>
      <c r="K162" t="s">
        <v>11</v>
      </c>
      <c r="L162" t="s">
        <v>12</v>
      </c>
      <c r="M162">
        <v>5.7</v>
      </c>
      <c r="N162">
        <v>2978</v>
      </c>
      <c r="O162">
        <v>31</v>
      </c>
      <c r="P162" t="str">
        <f>IF('Funding Insights'!$D$5="Industry",Table_startup_data_13[[#This Row],[Industry]],Table_startup_data_13[[#This Row],[Region]])</f>
        <v>AI</v>
      </c>
    </row>
    <row r="163" spans="1:16" x14ac:dyDescent="0.25">
      <c r="A163" t="s">
        <v>33</v>
      </c>
      <c r="B163" t="s">
        <v>31</v>
      </c>
      <c r="C163">
        <v>2</v>
      </c>
      <c r="D163">
        <v>234040000</v>
      </c>
      <c r="E163">
        <v>1207680000</v>
      </c>
      <c r="F163">
        <v>66340000</v>
      </c>
      <c r="G163">
        <v>1183</v>
      </c>
      <c r="H163">
        <v>0.05</v>
      </c>
      <c r="I163" t="b">
        <v>0</v>
      </c>
      <c r="J163">
        <v>2011</v>
      </c>
      <c r="K163" t="s">
        <v>11</v>
      </c>
      <c r="L163" t="s">
        <v>12</v>
      </c>
      <c r="M163">
        <v>5.16</v>
      </c>
      <c r="N163">
        <v>56078</v>
      </c>
      <c r="O163">
        <v>14</v>
      </c>
      <c r="P163" t="str">
        <f>IF('Funding Insights'!$D$5="Industry",Table_startup_data_13[[#This Row],[Industry]],Table_startup_data_13[[#This Row],[Region]])</f>
        <v>FinTech</v>
      </c>
    </row>
    <row r="164" spans="1:16" x14ac:dyDescent="0.25">
      <c r="A164" t="s">
        <v>40</v>
      </c>
      <c r="B164" t="s">
        <v>18</v>
      </c>
      <c r="C164">
        <v>2</v>
      </c>
      <c r="D164">
        <v>55040000</v>
      </c>
      <c r="E164">
        <v>427580000</v>
      </c>
      <c r="F164">
        <v>18210000</v>
      </c>
      <c r="G164">
        <v>2314</v>
      </c>
      <c r="H164">
        <v>4.1999999999999997E-3</v>
      </c>
      <c r="I164" t="b">
        <v>0</v>
      </c>
      <c r="J164">
        <v>2015</v>
      </c>
      <c r="K164" t="s">
        <v>11</v>
      </c>
      <c r="L164" t="s">
        <v>12</v>
      </c>
      <c r="M164">
        <v>7.77</v>
      </c>
      <c r="N164">
        <v>7869</v>
      </c>
      <c r="O164">
        <v>10</v>
      </c>
      <c r="P164" t="str">
        <f>IF('Funding Insights'!$D$5="Industry",Table_startup_data_13[[#This Row],[Industry]],Table_startup_data_13[[#This Row],[Region]])</f>
        <v>Gaming</v>
      </c>
    </row>
    <row r="165" spans="1:16" x14ac:dyDescent="0.25">
      <c r="A165" t="s">
        <v>43</v>
      </c>
      <c r="B165" t="s">
        <v>31</v>
      </c>
      <c r="C165">
        <v>5</v>
      </c>
      <c r="D165">
        <v>222640000</v>
      </c>
      <c r="E165">
        <v>714350000</v>
      </c>
      <c r="F165">
        <v>87440000</v>
      </c>
      <c r="G165">
        <v>4642</v>
      </c>
      <c r="H165">
        <v>2.8299999999999999E-2</v>
      </c>
      <c r="I165" t="b">
        <v>0</v>
      </c>
      <c r="J165">
        <v>1995</v>
      </c>
      <c r="K165" t="s">
        <v>11</v>
      </c>
      <c r="L165" t="s">
        <v>12</v>
      </c>
      <c r="M165">
        <v>3.21</v>
      </c>
      <c r="N165">
        <v>18837</v>
      </c>
      <c r="O165">
        <v>30</v>
      </c>
      <c r="P165" t="str">
        <f>IF('Funding Insights'!$D$5="Industry",Table_startup_data_13[[#This Row],[Industry]],Table_startup_data_13[[#This Row],[Region]])</f>
        <v>FinTech</v>
      </c>
    </row>
    <row r="166" spans="1:16" x14ac:dyDescent="0.25">
      <c r="A166" t="s">
        <v>45</v>
      </c>
      <c r="B166" t="s">
        <v>10</v>
      </c>
      <c r="C166">
        <v>1</v>
      </c>
      <c r="D166">
        <v>121060000</v>
      </c>
      <c r="E166">
        <v>1776820000</v>
      </c>
      <c r="F166">
        <v>72370000</v>
      </c>
      <c r="G166">
        <v>2174</v>
      </c>
      <c r="H166">
        <v>9.9299999999999999E-2</v>
      </c>
      <c r="I166" t="b">
        <v>0</v>
      </c>
      <c r="J166">
        <v>1993</v>
      </c>
      <c r="K166" t="s">
        <v>11</v>
      </c>
      <c r="L166" t="s">
        <v>12</v>
      </c>
      <c r="M166">
        <v>14.68</v>
      </c>
      <c r="N166">
        <v>33289</v>
      </c>
      <c r="O166">
        <v>32</v>
      </c>
      <c r="P166" t="str">
        <f>IF('Funding Insights'!$D$5="Industry",Table_startup_data_13[[#This Row],[Industry]],Table_startup_data_13[[#This Row],[Region]])</f>
        <v>IoT</v>
      </c>
    </row>
    <row r="167" spans="1:16" x14ac:dyDescent="0.25">
      <c r="A167" t="s">
        <v>56</v>
      </c>
      <c r="B167" t="s">
        <v>22</v>
      </c>
      <c r="C167">
        <v>5</v>
      </c>
      <c r="D167">
        <v>149680000</v>
      </c>
      <c r="E167">
        <v>740700000</v>
      </c>
      <c r="F167">
        <v>14990000</v>
      </c>
      <c r="G167">
        <v>3812</v>
      </c>
      <c r="H167">
        <v>2.3599999999999999E-2</v>
      </c>
      <c r="I167" t="b">
        <v>0</v>
      </c>
      <c r="J167">
        <v>2021</v>
      </c>
      <c r="K167" t="s">
        <v>11</v>
      </c>
      <c r="L167" t="s">
        <v>12</v>
      </c>
      <c r="M167">
        <v>4.95</v>
      </c>
      <c r="N167">
        <v>3932</v>
      </c>
      <c r="O167">
        <v>4</v>
      </c>
      <c r="P167" t="str">
        <f>IF('Funding Insights'!$D$5="Industry",Table_startup_data_13[[#This Row],[Industry]],Table_startup_data_13[[#This Row],[Region]])</f>
        <v>AI</v>
      </c>
    </row>
    <row r="168" spans="1:16" x14ac:dyDescent="0.25">
      <c r="A168" t="s">
        <v>60</v>
      </c>
      <c r="B168" t="s">
        <v>18</v>
      </c>
      <c r="C168">
        <v>3</v>
      </c>
      <c r="D168">
        <v>216200000</v>
      </c>
      <c r="E168">
        <v>1257150000</v>
      </c>
      <c r="F168">
        <v>21060000</v>
      </c>
      <c r="G168">
        <v>3241</v>
      </c>
      <c r="H168">
        <v>2.3300000000000001E-2</v>
      </c>
      <c r="I168" t="b">
        <v>0</v>
      </c>
      <c r="J168">
        <v>1990</v>
      </c>
      <c r="K168" t="s">
        <v>11</v>
      </c>
      <c r="L168" t="s">
        <v>12</v>
      </c>
      <c r="M168">
        <v>5.81</v>
      </c>
      <c r="N168">
        <v>6498</v>
      </c>
      <c r="O168">
        <v>35</v>
      </c>
      <c r="P168" t="str">
        <f>IF('Funding Insights'!$D$5="Industry",Table_startup_data_13[[#This Row],[Industry]],Table_startup_data_13[[#This Row],[Region]])</f>
        <v>Gaming</v>
      </c>
    </row>
    <row r="169" spans="1:16" x14ac:dyDescent="0.25">
      <c r="A169" t="s">
        <v>66</v>
      </c>
      <c r="B169" t="s">
        <v>27</v>
      </c>
      <c r="C169">
        <v>5</v>
      </c>
      <c r="D169">
        <v>75590000</v>
      </c>
      <c r="E169">
        <v>242660000</v>
      </c>
      <c r="F169">
        <v>23660000</v>
      </c>
      <c r="G169">
        <v>2395</v>
      </c>
      <c r="H169">
        <v>8.4099999999999994E-2</v>
      </c>
      <c r="I169" t="b">
        <v>1</v>
      </c>
      <c r="J169">
        <v>1993</v>
      </c>
      <c r="K169" t="s">
        <v>11</v>
      </c>
      <c r="L169" t="s">
        <v>12</v>
      </c>
      <c r="M169">
        <v>3.21</v>
      </c>
      <c r="N169">
        <v>9879</v>
      </c>
      <c r="O169">
        <v>32</v>
      </c>
      <c r="P169" t="str">
        <f>IF('Funding Insights'!$D$5="Industry",Table_startup_data_13[[#This Row],[Industry]],Table_startup_data_13[[#This Row],[Region]])</f>
        <v>HealthTech</v>
      </c>
    </row>
    <row r="170" spans="1:16" x14ac:dyDescent="0.25">
      <c r="A170" t="s">
        <v>82</v>
      </c>
      <c r="B170" t="s">
        <v>36</v>
      </c>
      <c r="C170">
        <v>5</v>
      </c>
      <c r="D170">
        <v>131440000</v>
      </c>
      <c r="E170">
        <v>1348500000</v>
      </c>
      <c r="F170">
        <v>95040000</v>
      </c>
      <c r="G170">
        <v>3461</v>
      </c>
      <c r="H170">
        <v>6.4000000000000001E-2</v>
      </c>
      <c r="I170" t="b">
        <v>0</v>
      </c>
      <c r="J170">
        <v>1998</v>
      </c>
      <c r="K170" t="s">
        <v>11</v>
      </c>
      <c r="L170" t="s">
        <v>12</v>
      </c>
      <c r="M170">
        <v>10.26</v>
      </c>
      <c r="N170">
        <v>27460</v>
      </c>
      <c r="O170">
        <v>27</v>
      </c>
      <c r="P170" t="str">
        <f>IF('Funding Insights'!$D$5="Industry",Table_startup_data_13[[#This Row],[Industry]],Table_startup_data_13[[#This Row],[Region]])</f>
        <v>Cybersecurity</v>
      </c>
    </row>
    <row r="171" spans="1:16" x14ac:dyDescent="0.25">
      <c r="A171" t="s">
        <v>92</v>
      </c>
      <c r="B171" t="s">
        <v>18</v>
      </c>
      <c r="C171">
        <v>3</v>
      </c>
      <c r="D171">
        <v>162180000</v>
      </c>
      <c r="E171">
        <v>2288050000</v>
      </c>
      <c r="F171">
        <v>78280000</v>
      </c>
      <c r="G171">
        <v>2839</v>
      </c>
      <c r="H171">
        <v>3.5900000000000001E-2</v>
      </c>
      <c r="I171" t="b">
        <v>0</v>
      </c>
      <c r="J171">
        <v>2012</v>
      </c>
      <c r="K171" t="s">
        <v>11</v>
      </c>
      <c r="L171" t="s">
        <v>12</v>
      </c>
      <c r="M171">
        <v>14.11</v>
      </c>
      <c r="N171">
        <v>27573</v>
      </c>
      <c r="O171">
        <v>13</v>
      </c>
      <c r="P171" t="str">
        <f>IF('Funding Insights'!$D$5="Industry",Table_startup_data_13[[#This Row],[Industry]],Table_startup_data_13[[#This Row],[Region]])</f>
        <v>Gaming</v>
      </c>
    </row>
    <row r="172" spans="1:16" x14ac:dyDescent="0.25">
      <c r="A172" t="s">
        <v>96</v>
      </c>
      <c r="B172" t="s">
        <v>27</v>
      </c>
      <c r="C172">
        <v>4</v>
      </c>
      <c r="D172">
        <v>286590000</v>
      </c>
      <c r="E172">
        <v>1950630000</v>
      </c>
      <c r="F172">
        <v>37750000</v>
      </c>
      <c r="G172">
        <v>1312</v>
      </c>
      <c r="H172">
        <v>5.4999999999999997E-3</v>
      </c>
      <c r="I172" t="b">
        <v>0</v>
      </c>
      <c r="J172">
        <v>1993</v>
      </c>
      <c r="K172" t="s">
        <v>11</v>
      </c>
      <c r="L172" t="s">
        <v>12</v>
      </c>
      <c r="M172">
        <v>6.81</v>
      </c>
      <c r="N172">
        <v>28773</v>
      </c>
      <c r="O172">
        <v>32</v>
      </c>
      <c r="P172" t="str">
        <f>IF('Funding Insights'!$D$5="Industry",Table_startup_data_13[[#This Row],[Industry]],Table_startup_data_13[[#This Row],[Region]])</f>
        <v>HealthTech</v>
      </c>
    </row>
    <row r="173" spans="1:16" x14ac:dyDescent="0.25">
      <c r="A173" t="s">
        <v>99</v>
      </c>
      <c r="B173" t="s">
        <v>10</v>
      </c>
      <c r="C173">
        <v>1</v>
      </c>
      <c r="D173">
        <v>142530000</v>
      </c>
      <c r="E173">
        <v>935340000</v>
      </c>
      <c r="F173">
        <v>43570000</v>
      </c>
      <c r="G173">
        <v>2216</v>
      </c>
      <c r="H173">
        <v>3.9800000000000002E-2</v>
      </c>
      <c r="I173" t="b">
        <v>1</v>
      </c>
      <c r="J173">
        <v>1995</v>
      </c>
      <c r="K173" t="s">
        <v>11</v>
      </c>
      <c r="L173" t="s">
        <v>12</v>
      </c>
      <c r="M173">
        <v>6.56</v>
      </c>
      <c r="N173">
        <v>19662</v>
      </c>
      <c r="O173">
        <v>30</v>
      </c>
      <c r="P173" t="str">
        <f>IF('Funding Insights'!$D$5="Industry",Table_startup_data_13[[#This Row],[Industry]],Table_startup_data_13[[#This Row],[Region]])</f>
        <v>IoT</v>
      </c>
    </row>
    <row r="174" spans="1:16" x14ac:dyDescent="0.25">
      <c r="A174" t="s">
        <v>115</v>
      </c>
      <c r="B174" t="s">
        <v>22</v>
      </c>
      <c r="C174">
        <v>1</v>
      </c>
      <c r="D174">
        <v>237110000</v>
      </c>
      <c r="E174">
        <v>2135260000</v>
      </c>
      <c r="F174">
        <v>28350000</v>
      </c>
      <c r="G174">
        <v>981</v>
      </c>
      <c r="H174">
        <v>6.4399999999999999E-2</v>
      </c>
      <c r="I174" t="b">
        <v>0</v>
      </c>
      <c r="J174">
        <v>2008</v>
      </c>
      <c r="K174" t="s">
        <v>11</v>
      </c>
      <c r="L174" t="s">
        <v>12</v>
      </c>
      <c r="M174">
        <v>9.01</v>
      </c>
      <c r="N174">
        <v>28899</v>
      </c>
      <c r="O174">
        <v>17</v>
      </c>
      <c r="P174" t="str">
        <f>IF('Funding Insights'!$D$5="Industry",Table_startup_data_13[[#This Row],[Industry]],Table_startup_data_13[[#This Row],[Region]])</f>
        <v>AI</v>
      </c>
    </row>
    <row r="175" spans="1:16" x14ac:dyDescent="0.25">
      <c r="A175" t="s">
        <v>139</v>
      </c>
      <c r="B175" t="s">
        <v>36</v>
      </c>
      <c r="C175">
        <v>1</v>
      </c>
      <c r="D175">
        <v>58180000</v>
      </c>
      <c r="E175">
        <v>509090000</v>
      </c>
      <c r="F175">
        <v>88230000</v>
      </c>
      <c r="G175">
        <v>1975</v>
      </c>
      <c r="H175">
        <v>4.87E-2</v>
      </c>
      <c r="I175" t="b">
        <v>0</v>
      </c>
      <c r="J175">
        <v>2019</v>
      </c>
      <c r="K175" t="s">
        <v>11</v>
      </c>
      <c r="L175" t="s">
        <v>12</v>
      </c>
      <c r="M175">
        <v>8.75</v>
      </c>
      <c r="N175">
        <v>44673</v>
      </c>
      <c r="O175">
        <v>6</v>
      </c>
      <c r="P175" t="str">
        <f>IF('Funding Insights'!$D$5="Industry",Table_startup_data_13[[#This Row],[Industry]],Table_startup_data_13[[#This Row],[Region]])</f>
        <v>Cybersecurity</v>
      </c>
    </row>
    <row r="176" spans="1:16" x14ac:dyDescent="0.25">
      <c r="A176" t="s">
        <v>144</v>
      </c>
      <c r="B176" t="s">
        <v>27</v>
      </c>
      <c r="C176">
        <v>3</v>
      </c>
      <c r="D176">
        <v>16940000</v>
      </c>
      <c r="E176">
        <v>187040000</v>
      </c>
      <c r="F176">
        <v>49500000</v>
      </c>
      <c r="G176">
        <v>4263</v>
      </c>
      <c r="H176">
        <v>5.6399999999999999E-2</v>
      </c>
      <c r="I176" t="b">
        <v>0</v>
      </c>
      <c r="J176">
        <v>2003</v>
      </c>
      <c r="K176" t="s">
        <v>11</v>
      </c>
      <c r="L176" t="s">
        <v>12</v>
      </c>
      <c r="M176">
        <v>11.04</v>
      </c>
      <c r="N176">
        <v>11612</v>
      </c>
      <c r="O176">
        <v>22</v>
      </c>
      <c r="P176" t="str">
        <f>IF('Funding Insights'!$D$5="Industry",Table_startup_data_13[[#This Row],[Industry]],Table_startup_data_13[[#This Row],[Region]])</f>
        <v>HealthTech</v>
      </c>
    </row>
    <row r="177" spans="1:16" x14ac:dyDescent="0.25">
      <c r="A177" t="s">
        <v>156</v>
      </c>
      <c r="B177" t="s">
        <v>72</v>
      </c>
      <c r="C177">
        <v>4</v>
      </c>
      <c r="D177">
        <v>171940000</v>
      </c>
      <c r="E177">
        <v>2165990000</v>
      </c>
      <c r="F177">
        <v>41860000</v>
      </c>
      <c r="G177">
        <v>2339</v>
      </c>
      <c r="H177">
        <v>8.5199999999999998E-2</v>
      </c>
      <c r="I177" t="b">
        <v>0</v>
      </c>
      <c r="J177">
        <v>1991</v>
      </c>
      <c r="K177" t="s">
        <v>11</v>
      </c>
      <c r="L177" t="s">
        <v>12</v>
      </c>
      <c r="M177">
        <v>12.6</v>
      </c>
      <c r="N177">
        <v>17897</v>
      </c>
      <c r="O177">
        <v>34</v>
      </c>
      <c r="P177" t="str">
        <f>IF('Funding Insights'!$D$5="Industry",Table_startup_data_13[[#This Row],[Industry]],Table_startup_data_13[[#This Row],[Region]])</f>
        <v>E-Commerce</v>
      </c>
    </row>
    <row r="178" spans="1:16" x14ac:dyDescent="0.25">
      <c r="A178" t="s">
        <v>169</v>
      </c>
      <c r="B178" t="s">
        <v>18</v>
      </c>
      <c r="C178">
        <v>3</v>
      </c>
      <c r="D178">
        <v>115500000</v>
      </c>
      <c r="E178">
        <v>1230750000</v>
      </c>
      <c r="F178">
        <v>42920000</v>
      </c>
      <c r="G178">
        <v>2004</v>
      </c>
      <c r="H178">
        <v>3.1899999999999998E-2</v>
      </c>
      <c r="I178" t="b">
        <v>0</v>
      </c>
      <c r="J178">
        <v>2015</v>
      </c>
      <c r="K178" t="s">
        <v>11</v>
      </c>
      <c r="L178" t="s">
        <v>12</v>
      </c>
      <c r="M178">
        <v>10.66</v>
      </c>
      <c r="N178">
        <v>21417</v>
      </c>
      <c r="O178">
        <v>10</v>
      </c>
      <c r="P178" t="str">
        <f>IF('Funding Insights'!$D$5="Industry",Table_startup_data_13[[#This Row],[Industry]],Table_startup_data_13[[#This Row],[Region]])</f>
        <v>Gaming</v>
      </c>
    </row>
    <row r="179" spans="1:16" x14ac:dyDescent="0.25">
      <c r="A179" t="s">
        <v>171</v>
      </c>
      <c r="B179" t="s">
        <v>14</v>
      </c>
      <c r="C179">
        <v>2</v>
      </c>
      <c r="D179">
        <v>21470000</v>
      </c>
      <c r="E179">
        <v>217330000</v>
      </c>
      <c r="F179">
        <v>66450000</v>
      </c>
      <c r="G179">
        <v>3757</v>
      </c>
      <c r="H179">
        <v>5.1200000000000002E-2</v>
      </c>
      <c r="I179" t="b">
        <v>0</v>
      </c>
      <c r="J179">
        <v>2016</v>
      </c>
      <c r="K179" t="s">
        <v>11</v>
      </c>
      <c r="L179" t="s">
        <v>12</v>
      </c>
      <c r="M179">
        <v>10.119999999999999</v>
      </c>
      <c r="N179">
        <v>17687</v>
      </c>
      <c r="O179">
        <v>9</v>
      </c>
      <c r="P179" t="str">
        <f>IF('Funding Insights'!$D$5="Industry",Table_startup_data_13[[#This Row],[Industry]],Table_startup_data_13[[#This Row],[Region]])</f>
        <v>EdTech</v>
      </c>
    </row>
    <row r="180" spans="1:16" x14ac:dyDescent="0.25">
      <c r="A180" t="s">
        <v>177</v>
      </c>
      <c r="B180" t="s">
        <v>10</v>
      </c>
      <c r="C180">
        <v>2</v>
      </c>
      <c r="D180">
        <v>174440000</v>
      </c>
      <c r="E180">
        <v>2135030000</v>
      </c>
      <c r="F180">
        <v>29130000</v>
      </c>
      <c r="G180">
        <v>4119</v>
      </c>
      <c r="H180">
        <v>0.08</v>
      </c>
      <c r="I180" t="b">
        <v>1</v>
      </c>
      <c r="J180">
        <v>2006</v>
      </c>
      <c r="K180" t="s">
        <v>11</v>
      </c>
      <c r="L180" t="s">
        <v>12</v>
      </c>
      <c r="M180">
        <v>12.24</v>
      </c>
      <c r="N180">
        <v>7072</v>
      </c>
      <c r="O180">
        <v>19</v>
      </c>
      <c r="P180" t="str">
        <f>IF('Funding Insights'!$D$5="Industry",Table_startup_data_13[[#This Row],[Industry]],Table_startup_data_13[[#This Row],[Region]])</f>
        <v>IoT</v>
      </c>
    </row>
    <row r="181" spans="1:16" x14ac:dyDescent="0.25">
      <c r="A181" t="s">
        <v>178</v>
      </c>
      <c r="B181" t="s">
        <v>14</v>
      </c>
      <c r="C181">
        <v>4</v>
      </c>
      <c r="D181">
        <v>81870000</v>
      </c>
      <c r="E181">
        <v>792470000</v>
      </c>
      <c r="F181">
        <v>78720000</v>
      </c>
      <c r="G181">
        <v>2316</v>
      </c>
      <c r="H181">
        <v>6.2E-2</v>
      </c>
      <c r="I181" t="b">
        <v>1</v>
      </c>
      <c r="J181">
        <v>2006</v>
      </c>
      <c r="K181" t="s">
        <v>11</v>
      </c>
      <c r="L181" t="s">
        <v>12</v>
      </c>
      <c r="M181">
        <v>9.68</v>
      </c>
      <c r="N181">
        <v>33990</v>
      </c>
      <c r="O181">
        <v>19</v>
      </c>
      <c r="P181" t="str">
        <f>IF('Funding Insights'!$D$5="Industry",Table_startup_data_13[[#This Row],[Industry]],Table_startup_data_13[[#This Row],[Region]])</f>
        <v>EdTech</v>
      </c>
    </row>
    <row r="182" spans="1:16" x14ac:dyDescent="0.25">
      <c r="A182" t="s">
        <v>185</v>
      </c>
      <c r="B182" t="s">
        <v>18</v>
      </c>
      <c r="C182">
        <v>4</v>
      </c>
      <c r="D182">
        <v>140460000</v>
      </c>
      <c r="E182">
        <v>1713590000</v>
      </c>
      <c r="F182">
        <v>87230000</v>
      </c>
      <c r="G182">
        <v>4679</v>
      </c>
      <c r="H182">
        <v>5.45E-2</v>
      </c>
      <c r="I182" t="b">
        <v>0</v>
      </c>
      <c r="J182">
        <v>2018</v>
      </c>
      <c r="K182" t="s">
        <v>11</v>
      </c>
      <c r="L182" t="s">
        <v>12</v>
      </c>
      <c r="M182">
        <v>12.2</v>
      </c>
      <c r="N182">
        <v>18643</v>
      </c>
      <c r="O182">
        <v>7</v>
      </c>
      <c r="P182" t="str">
        <f>IF('Funding Insights'!$D$5="Industry",Table_startup_data_13[[#This Row],[Industry]],Table_startup_data_13[[#This Row],[Region]])</f>
        <v>Gaming</v>
      </c>
    </row>
    <row r="183" spans="1:16" x14ac:dyDescent="0.25">
      <c r="A183" t="s">
        <v>225</v>
      </c>
      <c r="B183" t="s">
        <v>31</v>
      </c>
      <c r="C183">
        <v>5</v>
      </c>
      <c r="D183">
        <v>147610000</v>
      </c>
      <c r="E183">
        <v>566700000</v>
      </c>
      <c r="F183">
        <v>89730000</v>
      </c>
      <c r="G183">
        <v>2560</v>
      </c>
      <c r="H183">
        <v>3.8800000000000001E-2</v>
      </c>
      <c r="I183" t="b">
        <v>0</v>
      </c>
      <c r="J183">
        <v>1994</v>
      </c>
      <c r="K183" t="s">
        <v>11</v>
      </c>
      <c r="L183" t="s">
        <v>12</v>
      </c>
      <c r="M183">
        <v>3.84</v>
      </c>
      <c r="N183">
        <v>35051</v>
      </c>
      <c r="O183">
        <v>31</v>
      </c>
      <c r="P183" t="str">
        <f>IF('Funding Insights'!$D$5="Industry",Table_startup_data_13[[#This Row],[Industry]],Table_startup_data_13[[#This Row],[Region]])</f>
        <v>FinTech</v>
      </c>
    </row>
    <row r="184" spans="1:16" x14ac:dyDescent="0.25">
      <c r="A184" t="s">
        <v>242</v>
      </c>
      <c r="B184" t="s">
        <v>72</v>
      </c>
      <c r="C184">
        <v>5</v>
      </c>
      <c r="D184">
        <v>279510000</v>
      </c>
      <c r="E184">
        <v>2968260000</v>
      </c>
      <c r="F184">
        <v>12330000</v>
      </c>
      <c r="G184">
        <v>1309</v>
      </c>
      <c r="H184">
        <v>9.7900000000000001E-2</v>
      </c>
      <c r="I184" t="b">
        <v>1</v>
      </c>
      <c r="J184">
        <v>2008</v>
      </c>
      <c r="K184" t="s">
        <v>11</v>
      </c>
      <c r="L184" t="s">
        <v>12</v>
      </c>
      <c r="M184">
        <v>10.62</v>
      </c>
      <c r="N184">
        <v>9419</v>
      </c>
      <c r="O184">
        <v>17</v>
      </c>
      <c r="P184" t="str">
        <f>IF('Funding Insights'!$D$5="Industry",Table_startup_data_13[[#This Row],[Industry]],Table_startup_data_13[[#This Row],[Region]])</f>
        <v>E-Commerce</v>
      </c>
    </row>
    <row r="185" spans="1:16" x14ac:dyDescent="0.25">
      <c r="A185" t="s">
        <v>245</v>
      </c>
      <c r="B185" t="s">
        <v>31</v>
      </c>
      <c r="C185">
        <v>4</v>
      </c>
      <c r="D185">
        <v>76170000</v>
      </c>
      <c r="E185">
        <v>602790000</v>
      </c>
      <c r="F185">
        <v>99710000</v>
      </c>
      <c r="G185">
        <v>1594</v>
      </c>
      <c r="H185">
        <v>5.8599999999999999E-2</v>
      </c>
      <c r="I185" t="b">
        <v>0</v>
      </c>
      <c r="J185">
        <v>1991</v>
      </c>
      <c r="K185" t="s">
        <v>11</v>
      </c>
      <c r="L185" t="s">
        <v>12</v>
      </c>
      <c r="M185">
        <v>7.91</v>
      </c>
      <c r="N185">
        <v>62553</v>
      </c>
      <c r="O185">
        <v>34</v>
      </c>
      <c r="P185" t="str">
        <f>IF('Funding Insights'!$D$5="Industry",Table_startup_data_13[[#This Row],[Industry]],Table_startup_data_13[[#This Row],[Region]])</f>
        <v>FinTech</v>
      </c>
    </row>
    <row r="186" spans="1:16" x14ac:dyDescent="0.25">
      <c r="A186" t="s">
        <v>246</v>
      </c>
      <c r="B186" t="s">
        <v>27</v>
      </c>
      <c r="C186">
        <v>4</v>
      </c>
      <c r="D186">
        <v>2020000</v>
      </c>
      <c r="E186">
        <v>16310000</v>
      </c>
      <c r="F186">
        <v>97980000</v>
      </c>
      <c r="G186">
        <v>1592</v>
      </c>
      <c r="H186">
        <v>2.12E-2</v>
      </c>
      <c r="I186" t="b">
        <v>0</v>
      </c>
      <c r="J186">
        <v>1999</v>
      </c>
      <c r="K186" t="s">
        <v>11</v>
      </c>
      <c r="L186" t="s">
        <v>12</v>
      </c>
      <c r="M186">
        <v>8.07</v>
      </c>
      <c r="N186">
        <v>61545</v>
      </c>
      <c r="O186">
        <v>26</v>
      </c>
      <c r="P186" t="str">
        <f>IF('Funding Insights'!$D$5="Industry",Table_startup_data_13[[#This Row],[Industry]],Table_startup_data_13[[#This Row],[Region]])</f>
        <v>HealthTech</v>
      </c>
    </row>
    <row r="187" spans="1:16" x14ac:dyDescent="0.25">
      <c r="A187" t="s">
        <v>255</v>
      </c>
      <c r="B187" t="s">
        <v>27</v>
      </c>
      <c r="C187">
        <v>3</v>
      </c>
      <c r="D187">
        <v>264930000</v>
      </c>
      <c r="E187">
        <v>858460000</v>
      </c>
      <c r="F187">
        <v>97350000</v>
      </c>
      <c r="G187">
        <v>3707</v>
      </c>
      <c r="H187">
        <v>1.5299999999999999E-2</v>
      </c>
      <c r="I187" t="b">
        <v>0</v>
      </c>
      <c r="J187">
        <v>2013</v>
      </c>
      <c r="K187" t="s">
        <v>11</v>
      </c>
      <c r="L187" t="s">
        <v>12</v>
      </c>
      <c r="M187">
        <v>3.24</v>
      </c>
      <c r="N187">
        <v>26261</v>
      </c>
      <c r="O187">
        <v>12</v>
      </c>
      <c r="P187" t="str">
        <f>IF('Funding Insights'!$D$5="Industry",Table_startup_data_13[[#This Row],[Industry]],Table_startup_data_13[[#This Row],[Region]])</f>
        <v>HealthTech</v>
      </c>
    </row>
    <row r="188" spans="1:16" x14ac:dyDescent="0.25">
      <c r="A188" t="s">
        <v>268</v>
      </c>
      <c r="B188" t="s">
        <v>14</v>
      </c>
      <c r="C188">
        <v>2</v>
      </c>
      <c r="D188">
        <v>100540000</v>
      </c>
      <c r="E188">
        <v>443560000</v>
      </c>
      <c r="F188">
        <v>52590000</v>
      </c>
      <c r="G188">
        <v>893</v>
      </c>
      <c r="H188">
        <v>5.6800000000000003E-2</v>
      </c>
      <c r="I188" t="b">
        <v>1</v>
      </c>
      <c r="J188">
        <v>2021</v>
      </c>
      <c r="K188" t="s">
        <v>11</v>
      </c>
      <c r="L188" t="s">
        <v>12</v>
      </c>
      <c r="M188">
        <v>4.41</v>
      </c>
      <c r="N188">
        <v>58891</v>
      </c>
      <c r="O188">
        <v>4</v>
      </c>
      <c r="P188" t="str">
        <f>IF('Funding Insights'!$D$5="Industry",Table_startup_data_13[[#This Row],[Industry]],Table_startup_data_13[[#This Row],[Region]])</f>
        <v>EdTech</v>
      </c>
    </row>
    <row r="189" spans="1:16" x14ac:dyDescent="0.25">
      <c r="A189" t="s">
        <v>276</v>
      </c>
      <c r="B189" t="s">
        <v>14</v>
      </c>
      <c r="C189">
        <v>2</v>
      </c>
      <c r="D189">
        <v>139910000</v>
      </c>
      <c r="E189">
        <v>889330000</v>
      </c>
      <c r="F189">
        <v>19210000</v>
      </c>
      <c r="G189">
        <v>1111</v>
      </c>
      <c r="H189">
        <v>1.26E-2</v>
      </c>
      <c r="I189" t="b">
        <v>0</v>
      </c>
      <c r="J189">
        <v>2015</v>
      </c>
      <c r="K189" t="s">
        <v>11</v>
      </c>
      <c r="L189" t="s">
        <v>12</v>
      </c>
      <c r="M189">
        <v>6.36</v>
      </c>
      <c r="N189">
        <v>17291</v>
      </c>
      <c r="O189">
        <v>10</v>
      </c>
      <c r="P189" t="str">
        <f>IF('Funding Insights'!$D$5="Industry",Table_startup_data_13[[#This Row],[Industry]],Table_startup_data_13[[#This Row],[Region]])</f>
        <v>EdTech</v>
      </c>
    </row>
    <row r="190" spans="1:16" x14ac:dyDescent="0.25">
      <c r="A190" t="s">
        <v>295</v>
      </c>
      <c r="B190" t="s">
        <v>14</v>
      </c>
      <c r="C190">
        <v>4</v>
      </c>
      <c r="D190">
        <v>85360000</v>
      </c>
      <c r="E190">
        <v>279530000</v>
      </c>
      <c r="F190">
        <v>34100000</v>
      </c>
      <c r="G190">
        <v>4531</v>
      </c>
      <c r="H190">
        <v>2.23E-2</v>
      </c>
      <c r="I190" t="b">
        <v>0</v>
      </c>
      <c r="J190">
        <v>2011</v>
      </c>
      <c r="K190" t="s">
        <v>11</v>
      </c>
      <c r="L190" t="s">
        <v>12</v>
      </c>
      <c r="M190">
        <v>3.27</v>
      </c>
      <c r="N190">
        <v>7526</v>
      </c>
      <c r="O190">
        <v>14</v>
      </c>
      <c r="P190" t="str">
        <f>IF('Funding Insights'!$D$5="Industry",Table_startup_data_13[[#This Row],[Industry]],Table_startup_data_13[[#This Row],[Region]])</f>
        <v>EdTech</v>
      </c>
    </row>
    <row r="191" spans="1:16" x14ac:dyDescent="0.25">
      <c r="A191" t="s">
        <v>297</v>
      </c>
      <c r="B191" t="s">
        <v>22</v>
      </c>
      <c r="C191">
        <v>5</v>
      </c>
      <c r="D191">
        <v>129960000</v>
      </c>
      <c r="E191">
        <v>738610000</v>
      </c>
      <c r="F191">
        <v>21630000</v>
      </c>
      <c r="G191">
        <v>1634</v>
      </c>
      <c r="H191">
        <v>5.0299999999999997E-2</v>
      </c>
      <c r="I191" t="b">
        <v>1</v>
      </c>
      <c r="J191">
        <v>2016</v>
      </c>
      <c r="K191" t="s">
        <v>11</v>
      </c>
      <c r="L191" t="s">
        <v>12</v>
      </c>
      <c r="M191">
        <v>5.68</v>
      </c>
      <c r="N191">
        <v>13237</v>
      </c>
      <c r="O191">
        <v>9</v>
      </c>
      <c r="P191" t="str">
        <f>IF('Funding Insights'!$D$5="Industry",Table_startup_data_13[[#This Row],[Industry]],Table_startup_data_13[[#This Row],[Region]])</f>
        <v>AI</v>
      </c>
    </row>
    <row r="192" spans="1:16" x14ac:dyDescent="0.25">
      <c r="A192" t="s">
        <v>305</v>
      </c>
      <c r="B192" t="s">
        <v>22</v>
      </c>
      <c r="C192">
        <v>4</v>
      </c>
      <c r="D192">
        <v>284220000</v>
      </c>
      <c r="E192">
        <v>1327410000</v>
      </c>
      <c r="F192">
        <v>80760000</v>
      </c>
      <c r="G192">
        <v>3379</v>
      </c>
      <c r="H192">
        <v>5.1799999999999999E-2</v>
      </c>
      <c r="I192" t="b">
        <v>0</v>
      </c>
      <c r="J192">
        <v>2001</v>
      </c>
      <c r="K192" t="s">
        <v>11</v>
      </c>
      <c r="L192" t="s">
        <v>12</v>
      </c>
      <c r="M192">
        <v>4.67</v>
      </c>
      <c r="N192">
        <v>23901</v>
      </c>
      <c r="O192">
        <v>24</v>
      </c>
      <c r="P192" t="str">
        <f>IF('Funding Insights'!$D$5="Industry",Table_startup_data_13[[#This Row],[Industry]],Table_startup_data_13[[#This Row],[Region]])</f>
        <v>AI</v>
      </c>
    </row>
    <row r="193" spans="1:16" x14ac:dyDescent="0.25">
      <c r="A193" t="s">
        <v>308</v>
      </c>
      <c r="B193" t="s">
        <v>72</v>
      </c>
      <c r="C193">
        <v>1</v>
      </c>
      <c r="D193">
        <v>212720000</v>
      </c>
      <c r="E193">
        <v>1448700000</v>
      </c>
      <c r="F193">
        <v>65110000</v>
      </c>
      <c r="G193">
        <v>4973</v>
      </c>
      <c r="H193">
        <v>2.3699999999999999E-2</v>
      </c>
      <c r="I193" t="b">
        <v>0</v>
      </c>
      <c r="J193">
        <v>1999</v>
      </c>
      <c r="K193" t="s">
        <v>11</v>
      </c>
      <c r="L193" t="s">
        <v>12</v>
      </c>
      <c r="M193">
        <v>6.81</v>
      </c>
      <c r="N193">
        <v>13093</v>
      </c>
      <c r="O193">
        <v>26</v>
      </c>
      <c r="P193" t="str">
        <f>IF('Funding Insights'!$D$5="Industry",Table_startup_data_13[[#This Row],[Industry]],Table_startup_data_13[[#This Row],[Region]])</f>
        <v>E-Commerce</v>
      </c>
    </row>
    <row r="194" spans="1:16" x14ac:dyDescent="0.25">
      <c r="A194" t="s">
        <v>310</v>
      </c>
      <c r="B194" t="s">
        <v>22</v>
      </c>
      <c r="C194">
        <v>4</v>
      </c>
      <c r="D194">
        <v>17850000</v>
      </c>
      <c r="E194">
        <v>230310000</v>
      </c>
      <c r="F194">
        <v>120000</v>
      </c>
      <c r="G194">
        <v>4077</v>
      </c>
      <c r="H194">
        <v>6.7400000000000002E-2</v>
      </c>
      <c r="I194" t="b">
        <v>0</v>
      </c>
      <c r="J194">
        <v>2009</v>
      </c>
      <c r="K194" t="s">
        <v>11</v>
      </c>
      <c r="L194" t="s">
        <v>12</v>
      </c>
      <c r="M194">
        <v>12.9</v>
      </c>
      <c r="N194">
        <v>29</v>
      </c>
      <c r="O194">
        <v>16</v>
      </c>
      <c r="P194" t="str">
        <f>IF('Funding Insights'!$D$5="Industry",Table_startup_data_13[[#This Row],[Industry]],Table_startup_data_13[[#This Row],[Region]])</f>
        <v>AI</v>
      </c>
    </row>
    <row r="195" spans="1:16" x14ac:dyDescent="0.25">
      <c r="A195" t="s">
        <v>311</v>
      </c>
      <c r="B195" t="s">
        <v>10</v>
      </c>
      <c r="C195">
        <v>3</v>
      </c>
      <c r="D195">
        <v>22870000</v>
      </c>
      <c r="E195">
        <v>251470000</v>
      </c>
      <c r="F195">
        <v>16990000</v>
      </c>
      <c r="G195">
        <v>2262</v>
      </c>
      <c r="H195">
        <v>7.0400000000000004E-2</v>
      </c>
      <c r="I195" t="b">
        <v>1</v>
      </c>
      <c r="J195">
        <v>1991</v>
      </c>
      <c r="K195" t="s">
        <v>11</v>
      </c>
      <c r="L195" t="s">
        <v>12</v>
      </c>
      <c r="M195">
        <v>11</v>
      </c>
      <c r="N195">
        <v>7511</v>
      </c>
      <c r="O195">
        <v>34</v>
      </c>
      <c r="P195" t="str">
        <f>IF('Funding Insights'!$D$5="Industry",Table_startup_data_13[[#This Row],[Industry]],Table_startup_data_13[[#This Row],[Region]])</f>
        <v>IoT</v>
      </c>
    </row>
    <row r="196" spans="1:16" x14ac:dyDescent="0.25">
      <c r="A196" t="s">
        <v>319</v>
      </c>
      <c r="B196" t="s">
        <v>22</v>
      </c>
      <c r="C196">
        <v>1</v>
      </c>
      <c r="D196">
        <v>20160000</v>
      </c>
      <c r="E196">
        <v>204250000</v>
      </c>
      <c r="F196">
        <v>47960000</v>
      </c>
      <c r="G196">
        <v>2010</v>
      </c>
      <c r="H196">
        <v>2.5999999999999999E-3</v>
      </c>
      <c r="I196" t="b">
        <v>1</v>
      </c>
      <c r="J196">
        <v>2018</v>
      </c>
      <c r="K196" t="s">
        <v>11</v>
      </c>
      <c r="L196" t="s">
        <v>12</v>
      </c>
      <c r="M196">
        <v>10.130000000000001</v>
      </c>
      <c r="N196">
        <v>23861</v>
      </c>
      <c r="O196">
        <v>7</v>
      </c>
      <c r="P196" t="str">
        <f>IF('Funding Insights'!$D$5="Industry",Table_startup_data_13[[#This Row],[Industry]],Table_startup_data_13[[#This Row],[Region]])</f>
        <v>AI</v>
      </c>
    </row>
    <row r="197" spans="1:16" x14ac:dyDescent="0.25">
      <c r="A197" t="s">
        <v>320</v>
      </c>
      <c r="B197" t="s">
        <v>10</v>
      </c>
      <c r="C197">
        <v>5</v>
      </c>
      <c r="D197">
        <v>246540000</v>
      </c>
      <c r="E197">
        <v>3510090000</v>
      </c>
      <c r="F197">
        <v>1900000</v>
      </c>
      <c r="G197">
        <v>2021</v>
      </c>
      <c r="H197">
        <v>8.6E-3</v>
      </c>
      <c r="I197" t="b">
        <v>0</v>
      </c>
      <c r="J197">
        <v>2004</v>
      </c>
      <c r="K197" t="s">
        <v>11</v>
      </c>
      <c r="L197" t="s">
        <v>12</v>
      </c>
      <c r="M197">
        <v>14.24</v>
      </c>
      <c r="N197">
        <v>940</v>
      </c>
      <c r="O197">
        <v>21</v>
      </c>
      <c r="P197" t="str">
        <f>IF('Funding Insights'!$D$5="Industry",Table_startup_data_13[[#This Row],[Industry]],Table_startup_data_13[[#This Row],[Region]])</f>
        <v>IoT</v>
      </c>
    </row>
    <row r="198" spans="1:16" x14ac:dyDescent="0.25">
      <c r="A198" t="s">
        <v>332</v>
      </c>
      <c r="B198" t="s">
        <v>22</v>
      </c>
      <c r="C198">
        <v>5</v>
      </c>
      <c r="D198">
        <v>89860000</v>
      </c>
      <c r="E198">
        <v>792140000</v>
      </c>
      <c r="F198">
        <v>55960000</v>
      </c>
      <c r="G198">
        <v>544</v>
      </c>
      <c r="H198">
        <v>2.9000000000000001E-2</v>
      </c>
      <c r="I198" t="b">
        <v>0</v>
      </c>
      <c r="J198">
        <v>2011</v>
      </c>
      <c r="K198" t="s">
        <v>11</v>
      </c>
      <c r="L198" t="s">
        <v>12</v>
      </c>
      <c r="M198">
        <v>8.82</v>
      </c>
      <c r="N198">
        <v>102868</v>
      </c>
      <c r="O198">
        <v>14</v>
      </c>
      <c r="P198" t="str">
        <f>IF('Funding Insights'!$D$5="Industry",Table_startup_data_13[[#This Row],[Industry]],Table_startup_data_13[[#This Row],[Region]])</f>
        <v>AI</v>
      </c>
    </row>
    <row r="199" spans="1:16" x14ac:dyDescent="0.25">
      <c r="A199" t="s">
        <v>341</v>
      </c>
      <c r="B199" t="s">
        <v>22</v>
      </c>
      <c r="C199">
        <v>4</v>
      </c>
      <c r="D199">
        <v>272900000</v>
      </c>
      <c r="E199">
        <v>1400850000</v>
      </c>
      <c r="F199">
        <v>4710000</v>
      </c>
      <c r="G199">
        <v>4218</v>
      </c>
      <c r="H199">
        <v>2.1399999999999999E-2</v>
      </c>
      <c r="I199" t="b">
        <v>0</v>
      </c>
      <c r="J199">
        <v>2007</v>
      </c>
      <c r="K199" t="s">
        <v>11</v>
      </c>
      <c r="L199" t="s">
        <v>12</v>
      </c>
      <c r="M199">
        <v>5.13</v>
      </c>
      <c r="N199">
        <v>1117</v>
      </c>
      <c r="O199">
        <v>18</v>
      </c>
      <c r="P199" t="str">
        <f>IF('Funding Insights'!$D$5="Industry",Table_startup_data_13[[#This Row],[Industry]],Table_startup_data_13[[#This Row],[Region]])</f>
        <v>AI</v>
      </c>
    </row>
    <row r="200" spans="1:16" x14ac:dyDescent="0.25">
      <c r="A200" t="s">
        <v>346</v>
      </c>
      <c r="B200" t="s">
        <v>72</v>
      </c>
      <c r="C200">
        <v>1</v>
      </c>
      <c r="D200">
        <v>93930000</v>
      </c>
      <c r="E200">
        <v>544020000</v>
      </c>
      <c r="F200">
        <v>22710000</v>
      </c>
      <c r="G200">
        <v>4658</v>
      </c>
      <c r="H200">
        <v>8.6099999999999996E-2</v>
      </c>
      <c r="I200" t="b">
        <v>1</v>
      </c>
      <c r="J200">
        <v>1994</v>
      </c>
      <c r="K200" t="s">
        <v>11</v>
      </c>
      <c r="L200" t="s">
        <v>12</v>
      </c>
      <c r="M200">
        <v>5.79</v>
      </c>
      <c r="N200">
        <v>4875</v>
      </c>
      <c r="O200">
        <v>31</v>
      </c>
      <c r="P200" t="str">
        <f>IF('Funding Insights'!$D$5="Industry",Table_startup_data_13[[#This Row],[Industry]],Table_startup_data_13[[#This Row],[Region]])</f>
        <v>E-Commerce</v>
      </c>
    </row>
    <row r="201" spans="1:16" x14ac:dyDescent="0.25">
      <c r="A201" t="s">
        <v>348</v>
      </c>
      <c r="B201" t="s">
        <v>10</v>
      </c>
      <c r="C201">
        <v>5</v>
      </c>
      <c r="D201">
        <v>217460000</v>
      </c>
      <c r="E201">
        <v>1105790000</v>
      </c>
      <c r="F201">
        <v>59920000</v>
      </c>
      <c r="G201">
        <v>3753</v>
      </c>
      <c r="H201">
        <v>7.8899999999999998E-2</v>
      </c>
      <c r="I201" t="b">
        <v>1</v>
      </c>
      <c r="J201">
        <v>2010</v>
      </c>
      <c r="K201" t="s">
        <v>11</v>
      </c>
      <c r="L201" t="s">
        <v>12</v>
      </c>
      <c r="M201">
        <v>5.09</v>
      </c>
      <c r="N201">
        <v>15966</v>
      </c>
      <c r="O201">
        <v>15</v>
      </c>
      <c r="P201" t="str">
        <f>IF('Funding Insights'!$D$5="Industry",Table_startup_data_13[[#This Row],[Industry]],Table_startup_data_13[[#This Row],[Region]])</f>
        <v>IoT</v>
      </c>
    </row>
    <row r="202" spans="1:16" x14ac:dyDescent="0.25">
      <c r="A202" t="s">
        <v>364</v>
      </c>
      <c r="B202" t="s">
        <v>14</v>
      </c>
      <c r="C202">
        <v>5</v>
      </c>
      <c r="D202">
        <v>88600000</v>
      </c>
      <c r="E202">
        <v>1106090000</v>
      </c>
      <c r="F202">
        <v>25310000</v>
      </c>
      <c r="G202">
        <v>744</v>
      </c>
      <c r="H202">
        <v>4.7500000000000001E-2</v>
      </c>
      <c r="I202" t="b">
        <v>1</v>
      </c>
      <c r="J202">
        <v>2012</v>
      </c>
      <c r="K202" t="s">
        <v>11</v>
      </c>
      <c r="L202" t="s">
        <v>12</v>
      </c>
      <c r="M202">
        <v>12.48</v>
      </c>
      <c r="N202">
        <v>34019</v>
      </c>
      <c r="O202">
        <v>13</v>
      </c>
      <c r="P202" t="str">
        <f>IF('Funding Insights'!$D$5="Industry",Table_startup_data_13[[#This Row],[Industry]],Table_startup_data_13[[#This Row],[Region]])</f>
        <v>EdTech</v>
      </c>
    </row>
    <row r="203" spans="1:16" x14ac:dyDescent="0.25">
      <c r="A203" t="s">
        <v>368</v>
      </c>
      <c r="B203" t="s">
        <v>10</v>
      </c>
      <c r="C203">
        <v>2</v>
      </c>
      <c r="D203">
        <v>138900000</v>
      </c>
      <c r="E203">
        <v>1448360000</v>
      </c>
      <c r="F203">
        <v>52570000</v>
      </c>
      <c r="G203">
        <v>3909</v>
      </c>
      <c r="H203">
        <v>7.1599999999999997E-2</v>
      </c>
      <c r="I203" t="b">
        <v>1</v>
      </c>
      <c r="J203">
        <v>2020</v>
      </c>
      <c r="K203" t="s">
        <v>11</v>
      </c>
      <c r="L203" t="s">
        <v>12</v>
      </c>
      <c r="M203">
        <v>10.43</v>
      </c>
      <c r="N203">
        <v>13448</v>
      </c>
      <c r="O203">
        <v>5</v>
      </c>
      <c r="P203" t="str">
        <f>IF('Funding Insights'!$D$5="Industry",Table_startup_data_13[[#This Row],[Industry]],Table_startup_data_13[[#This Row],[Region]])</f>
        <v>IoT</v>
      </c>
    </row>
    <row r="204" spans="1:16" x14ac:dyDescent="0.25">
      <c r="A204" t="s">
        <v>372</v>
      </c>
      <c r="B204" t="s">
        <v>31</v>
      </c>
      <c r="C204">
        <v>4</v>
      </c>
      <c r="D204">
        <v>74640000</v>
      </c>
      <c r="E204">
        <v>402030000</v>
      </c>
      <c r="F204">
        <v>95590000</v>
      </c>
      <c r="G204">
        <v>2836</v>
      </c>
      <c r="H204">
        <v>1.21E-2</v>
      </c>
      <c r="I204" t="b">
        <v>1</v>
      </c>
      <c r="J204">
        <v>2012</v>
      </c>
      <c r="K204" t="s">
        <v>11</v>
      </c>
      <c r="L204" t="s">
        <v>12</v>
      </c>
      <c r="M204">
        <v>5.39</v>
      </c>
      <c r="N204">
        <v>33706</v>
      </c>
      <c r="O204">
        <v>13</v>
      </c>
      <c r="P204" t="str">
        <f>IF('Funding Insights'!$D$5="Industry",Table_startup_data_13[[#This Row],[Industry]],Table_startup_data_13[[#This Row],[Region]])</f>
        <v>FinTech</v>
      </c>
    </row>
    <row r="205" spans="1:16" x14ac:dyDescent="0.25">
      <c r="A205" t="s">
        <v>376</v>
      </c>
      <c r="B205" t="s">
        <v>31</v>
      </c>
      <c r="C205">
        <v>3</v>
      </c>
      <c r="D205">
        <v>195630000</v>
      </c>
      <c r="E205">
        <v>1210990000</v>
      </c>
      <c r="F205">
        <v>91080000</v>
      </c>
      <c r="G205">
        <v>3680</v>
      </c>
      <c r="H205">
        <v>7.4899999999999994E-2</v>
      </c>
      <c r="I205" t="b">
        <v>1</v>
      </c>
      <c r="J205">
        <v>1994</v>
      </c>
      <c r="K205" t="s">
        <v>11</v>
      </c>
      <c r="L205" t="s">
        <v>12</v>
      </c>
      <c r="M205">
        <v>6.19</v>
      </c>
      <c r="N205">
        <v>24750</v>
      </c>
      <c r="O205">
        <v>31</v>
      </c>
      <c r="P205" t="str">
        <f>IF('Funding Insights'!$D$5="Industry",Table_startup_data_13[[#This Row],[Industry]],Table_startup_data_13[[#This Row],[Region]])</f>
        <v>FinTech</v>
      </c>
    </row>
    <row r="206" spans="1:16" x14ac:dyDescent="0.25">
      <c r="A206" t="s">
        <v>384</v>
      </c>
      <c r="B206" t="s">
        <v>10</v>
      </c>
      <c r="C206">
        <v>2</v>
      </c>
      <c r="D206">
        <v>118970000</v>
      </c>
      <c r="E206">
        <v>1287320000</v>
      </c>
      <c r="F206">
        <v>78900000</v>
      </c>
      <c r="G206">
        <v>4068</v>
      </c>
      <c r="H206">
        <v>5.5800000000000002E-2</v>
      </c>
      <c r="I206" t="b">
        <v>1</v>
      </c>
      <c r="J206">
        <v>1994</v>
      </c>
      <c r="K206" t="s">
        <v>11</v>
      </c>
      <c r="L206" t="s">
        <v>12</v>
      </c>
      <c r="M206">
        <v>10.82</v>
      </c>
      <c r="N206">
        <v>19395</v>
      </c>
      <c r="O206">
        <v>31</v>
      </c>
      <c r="P206" t="str">
        <f>IF('Funding Insights'!$D$5="Industry",Table_startup_data_13[[#This Row],[Industry]],Table_startup_data_13[[#This Row],[Region]])</f>
        <v>IoT</v>
      </c>
    </row>
    <row r="207" spans="1:16" x14ac:dyDescent="0.25">
      <c r="A207" t="s">
        <v>386</v>
      </c>
      <c r="B207" t="s">
        <v>22</v>
      </c>
      <c r="C207">
        <v>2</v>
      </c>
      <c r="D207">
        <v>216710000</v>
      </c>
      <c r="E207">
        <v>2247060000</v>
      </c>
      <c r="F207">
        <v>67670000</v>
      </c>
      <c r="G207">
        <v>4765</v>
      </c>
      <c r="H207">
        <v>7.4499999999999997E-2</v>
      </c>
      <c r="I207" t="b">
        <v>1</v>
      </c>
      <c r="J207">
        <v>2014</v>
      </c>
      <c r="K207" t="s">
        <v>11</v>
      </c>
      <c r="L207" t="s">
        <v>12</v>
      </c>
      <c r="M207">
        <v>10.37</v>
      </c>
      <c r="N207">
        <v>14201</v>
      </c>
      <c r="O207">
        <v>11</v>
      </c>
      <c r="P207" t="str">
        <f>IF('Funding Insights'!$D$5="Industry",Table_startup_data_13[[#This Row],[Industry]],Table_startup_data_13[[#This Row],[Region]])</f>
        <v>AI</v>
      </c>
    </row>
    <row r="208" spans="1:16" x14ac:dyDescent="0.25">
      <c r="A208" t="s">
        <v>390</v>
      </c>
      <c r="B208" t="s">
        <v>22</v>
      </c>
      <c r="C208">
        <v>3</v>
      </c>
      <c r="D208">
        <v>272390000</v>
      </c>
      <c r="E208">
        <v>1252380000</v>
      </c>
      <c r="F208">
        <v>97080000</v>
      </c>
      <c r="G208">
        <v>2808</v>
      </c>
      <c r="H208">
        <v>2.24E-2</v>
      </c>
      <c r="I208" t="b">
        <v>0</v>
      </c>
      <c r="J208">
        <v>2012</v>
      </c>
      <c r="K208" t="s">
        <v>11</v>
      </c>
      <c r="L208" t="s">
        <v>12</v>
      </c>
      <c r="M208">
        <v>4.5999999999999996</v>
      </c>
      <c r="N208">
        <v>34573</v>
      </c>
      <c r="O208">
        <v>13</v>
      </c>
      <c r="P208" t="str">
        <f>IF('Funding Insights'!$D$5="Industry",Table_startup_data_13[[#This Row],[Industry]],Table_startup_data_13[[#This Row],[Region]])</f>
        <v>AI</v>
      </c>
    </row>
    <row r="209" spans="1:16" x14ac:dyDescent="0.25">
      <c r="A209" t="s">
        <v>410</v>
      </c>
      <c r="B209" t="s">
        <v>14</v>
      </c>
      <c r="C209">
        <v>4</v>
      </c>
      <c r="D209">
        <v>60660000</v>
      </c>
      <c r="E209">
        <v>504650000</v>
      </c>
      <c r="F209">
        <v>59130000</v>
      </c>
      <c r="G209">
        <v>493</v>
      </c>
      <c r="H209">
        <v>4.65E-2</v>
      </c>
      <c r="I209" t="b">
        <v>1</v>
      </c>
      <c r="J209">
        <v>1992</v>
      </c>
      <c r="K209" t="s">
        <v>11</v>
      </c>
      <c r="L209" t="s">
        <v>12</v>
      </c>
      <c r="M209">
        <v>8.32</v>
      </c>
      <c r="N209">
        <v>119939</v>
      </c>
      <c r="O209">
        <v>33</v>
      </c>
      <c r="P209" t="str">
        <f>IF('Funding Insights'!$D$5="Industry",Table_startup_data_13[[#This Row],[Industry]],Table_startup_data_13[[#This Row],[Region]])</f>
        <v>EdTech</v>
      </c>
    </row>
    <row r="210" spans="1:16" x14ac:dyDescent="0.25">
      <c r="A210" t="s">
        <v>414</v>
      </c>
      <c r="B210" t="s">
        <v>22</v>
      </c>
      <c r="C210">
        <v>5</v>
      </c>
      <c r="D210">
        <v>201280000</v>
      </c>
      <c r="E210">
        <v>2195650000</v>
      </c>
      <c r="F210">
        <v>83350000</v>
      </c>
      <c r="G210">
        <v>1107</v>
      </c>
      <c r="H210">
        <v>4.9399999999999999E-2</v>
      </c>
      <c r="I210" t="b">
        <v>1</v>
      </c>
      <c r="J210">
        <v>2009</v>
      </c>
      <c r="K210" t="s">
        <v>11</v>
      </c>
      <c r="L210" t="s">
        <v>12</v>
      </c>
      <c r="M210">
        <v>10.91</v>
      </c>
      <c r="N210">
        <v>75294</v>
      </c>
      <c r="O210">
        <v>16</v>
      </c>
      <c r="P210" t="str">
        <f>IF('Funding Insights'!$D$5="Industry",Table_startup_data_13[[#This Row],[Industry]],Table_startup_data_13[[#This Row],[Region]])</f>
        <v>AI</v>
      </c>
    </row>
    <row r="211" spans="1:16" x14ac:dyDescent="0.25">
      <c r="A211" t="s">
        <v>419</v>
      </c>
      <c r="B211" t="s">
        <v>72</v>
      </c>
      <c r="C211">
        <v>4</v>
      </c>
      <c r="D211">
        <v>185170000</v>
      </c>
      <c r="E211">
        <v>1416760000</v>
      </c>
      <c r="F211">
        <v>21930000</v>
      </c>
      <c r="G211">
        <v>3721</v>
      </c>
      <c r="H211">
        <v>7.9200000000000007E-2</v>
      </c>
      <c r="I211" t="b">
        <v>0</v>
      </c>
      <c r="J211">
        <v>2016</v>
      </c>
      <c r="K211" t="s">
        <v>11</v>
      </c>
      <c r="L211" t="s">
        <v>12</v>
      </c>
      <c r="M211">
        <v>7.65</v>
      </c>
      <c r="N211">
        <v>5894</v>
      </c>
      <c r="O211">
        <v>9</v>
      </c>
      <c r="P211" t="str">
        <f>IF('Funding Insights'!$D$5="Industry",Table_startup_data_13[[#This Row],[Industry]],Table_startup_data_13[[#This Row],[Region]])</f>
        <v>E-Commerce</v>
      </c>
    </row>
    <row r="212" spans="1:16" x14ac:dyDescent="0.25">
      <c r="A212" t="s">
        <v>420</v>
      </c>
      <c r="B212" t="s">
        <v>72</v>
      </c>
      <c r="C212">
        <v>1</v>
      </c>
      <c r="D212">
        <v>184080000</v>
      </c>
      <c r="E212">
        <v>1572660000</v>
      </c>
      <c r="F212">
        <v>39740000</v>
      </c>
      <c r="G212">
        <v>1852</v>
      </c>
      <c r="H212">
        <v>3.04E-2</v>
      </c>
      <c r="I212" t="b">
        <v>1</v>
      </c>
      <c r="J212">
        <v>2002</v>
      </c>
      <c r="K212" t="s">
        <v>11</v>
      </c>
      <c r="L212" t="s">
        <v>12</v>
      </c>
      <c r="M212">
        <v>8.5399999999999991</v>
      </c>
      <c r="N212">
        <v>21458</v>
      </c>
      <c r="O212">
        <v>23</v>
      </c>
      <c r="P212" t="str">
        <f>IF('Funding Insights'!$D$5="Industry",Table_startup_data_13[[#This Row],[Industry]],Table_startup_data_13[[#This Row],[Region]])</f>
        <v>E-Commerce</v>
      </c>
    </row>
    <row r="213" spans="1:16" x14ac:dyDescent="0.25">
      <c r="A213" t="s">
        <v>423</v>
      </c>
      <c r="B213" t="s">
        <v>10</v>
      </c>
      <c r="C213">
        <v>1</v>
      </c>
      <c r="D213">
        <v>284230000</v>
      </c>
      <c r="E213">
        <v>4066700000</v>
      </c>
      <c r="F213">
        <v>81690000</v>
      </c>
      <c r="G213">
        <v>4534</v>
      </c>
      <c r="H213">
        <v>4.2000000000000003E-2</v>
      </c>
      <c r="I213" t="b">
        <v>1</v>
      </c>
      <c r="J213">
        <v>2017</v>
      </c>
      <c r="K213" t="s">
        <v>11</v>
      </c>
      <c r="L213" t="s">
        <v>12</v>
      </c>
      <c r="M213">
        <v>14.31</v>
      </c>
      <c r="N213">
        <v>18017</v>
      </c>
      <c r="O213">
        <v>8</v>
      </c>
      <c r="P213" t="str">
        <f>IF('Funding Insights'!$D$5="Industry",Table_startup_data_13[[#This Row],[Industry]],Table_startup_data_13[[#This Row],[Region]])</f>
        <v>IoT</v>
      </c>
    </row>
    <row r="214" spans="1:16" x14ac:dyDescent="0.25">
      <c r="A214" t="s">
        <v>428</v>
      </c>
      <c r="B214" t="s">
        <v>10</v>
      </c>
      <c r="C214">
        <v>3</v>
      </c>
      <c r="D214">
        <v>198420000</v>
      </c>
      <c r="E214">
        <v>2572800000</v>
      </c>
      <c r="F214">
        <v>57520000</v>
      </c>
      <c r="G214">
        <v>1557</v>
      </c>
      <c r="H214">
        <v>5.8599999999999999E-2</v>
      </c>
      <c r="I214" t="b">
        <v>1</v>
      </c>
      <c r="J214">
        <v>2015</v>
      </c>
      <c r="K214" t="s">
        <v>11</v>
      </c>
      <c r="L214" t="s">
        <v>12</v>
      </c>
      <c r="M214">
        <v>12.97</v>
      </c>
      <c r="N214">
        <v>36943</v>
      </c>
      <c r="O214">
        <v>10</v>
      </c>
      <c r="P214" t="str">
        <f>IF('Funding Insights'!$D$5="Industry",Table_startup_data_13[[#This Row],[Industry]],Table_startup_data_13[[#This Row],[Region]])</f>
        <v>IoT</v>
      </c>
    </row>
    <row r="215" spans="1:16" x14ac:dyDescent="0.25">
      <c r="A215" t="s">
        <v>436</v>
      </c>
      <c r="B215" t="s">
        <v>14</v>
      </c>
      <c r="C215">
        <v>3</v>
      </c>
      <c r="D215">
        <v>217590000</v>
      </c>
      <c r="E215">
        <v>3201160000</v>
      </c>
      <c r="F215">
        <v>73010000</v>
      </c>
      <c r="G215">
        <v>3488</v>
      </c>
      <c r="H215">
        <v>7.5200000000000003E-2</v>
      </c>
      <c r="I215" t="b">
        <v>1</v>
      </c>
      <c r="J215">
        <v>2001</v>
      </c>
      <c r="K215" t="s">
        <v>11</v>
      </c>
      <c r="L215" t="s">
        <v>12</v>
      </c>
      <c r="M215">
        <v>14.71</v>
      </c>
      <c r="N215">
        <v>20932</v>
      </c>
      <c r="O215">
        <v>24</v>
      </c>
      <c r="P215" t="str">
        <f>IF('Funding Insights'!$D$5="Industry",Table_startup_data_13[[#This Row],[Industry]],Table_startup_data_13[[#This Row],[Region]])</f>
        <v>EdTech</v>
      </c>
    </row>
    <row r="216" spans="1:16" x14ac:dyDescent="0.25">
      <c r="A216" t="s">
        <v>458</v>
      </c>
      <c r="B216" t="s">
        <v>22</v>
      </c>
      <c r="C216">
        <v>5</v>
      </c>
      <c r="D216">
        <v>252220000</v>
      </c>
      <c r="E216">
        <v>1894660000</v>
      </c>
      <c r="F216">
        <v>90040000</v>
      </c>
      <c r="G216">
        <v>3649</v>
      </c>
      <c r="H216">
        <v>7.6700000000000004E-2</v>
      </c>
      <c r="I216" t="b">
        <v>1</v>
      </c>
      <c r="J216">
        <v>2002</v>
      </c>
      <c r="K216" t="s">
        <v>11</v>
      </c>
      <c r="L216" t="s">
        <v>12</v>
      </c>
      <c r="M216">
        <v>7.51</v>
      </c>
      <c r="N216">
        <v>24675</v>
      </c>
      <c r="O216">
        <v>23</v>
      </c>
      <c r="P216" t="str">
        <f>IF('Funding Insights'!$D$5="Industry",Table_startup_data_13[[#This Row],[Industry]],Table_startup_data_13[[#This Row],[Region]])</f>
        <v>AI</v>
      </c>
    </row>
    <row r="217" spans="1:16" x14ac:dyDescent="0.25">
      <c r="A217" t="s">
        <v>461</v>
      </c>
      <c r="B217" t="s">
        <v>36</v>
      </c>
      <c r="C217">
        <v>5</v>
      </c>
      <c r="D217">
        <v>125060000</v>
      </c>
      <c r="E217">
        <v>620820000</v>
      </c>
      <c r="F217">
        <v>75010000</v>
      </c>
      <c r="G217">
        <v>2650</v>
      </c>
      <c r="H217">
        <v>9.5200000000000007E-2</v>
      </c>
      <c r="I217" t="b">
        <v>0</v>
      </c>
      <c r="J217">
        <v>2000</v>
      </c>
      <c r="K217" t="s">
        <v>11</v>
      </c>
      <c r="L217" t="s">
        <v>12</v>
      </c>
      <c r="M217">
        <v>4.96</v>
      </c>
      <c r="N217">
        <v>28306</v>
      </c>
      <c r="O217">
        <v>25</v>
      </c>
      <c r="P217" t="str">
        <f>IF('Funding Insights'!$D$5="Industry",Table_startup_data_13[[#This Row],[Industry]],Table_startup_data_13[[#This Row],[Region]])</f>
        <v>Cybersecurity</v>
      </c>
    </row>
    <row r="218" spans="1:16" x14ac:dyDescent="0.25">
      <c r="A218" t="s">
        <v>478</v>
      </c>
      <c r="B218" t="s">
        <v>72</v>
      </c>
      <c r="C218">
        <v>3</v>
      </c>
      <c r="D218">
        <v>108070000</v>
      </c>
      <c r="E218">
        <v>558410000</v>
      </c>
      <c r="F218">
        <v>69520000</v>
      </c>
      <c r="G218">
        <v>1610</v>
      </c>
      <c r="H218">
        <v>2.93E-2</v>
      </c>
      <c r="I218" t="b">
        <v>1</v>
      </c>
      <c r="J218">
        <v>2006</v>
      </c>
      <c r="K218" t="s">
        <v>11</v>
      </c>
      <c r="L218" t="s">
        <v>12</v>
      </c>
      <c r="M218">
        <v>5.17</v>
      </c>
      <c r="N218">
        <v>43180</v>
      </c>
      <c r="O218">
        <v>19</v>
      </c>
      <c r="P218" t="str">
        <f>IF('Funding Insights'!$D$5="Industry",Table_startup_data_13[[#This Row],[Industry]],Table_startup_data_13[[#This Row],[Region]])</f>
        <v>E-Commerce</v>
      </c>
    </row>
    <row r="219" spans="1:16" x14ac:dyDescent="0.25">
      <c r="A219" t="s">
        <v>479</v>
      </c>
      <c r="B219" t="s">
        <v>27</v>
      </c>
      <c r="C219">
        <v>4</v>
      </c>
      <c r="D219">
        <v>115460000</v>
      </c>
      <c r="E219">
        <v>421000000</v>
      </c>
      <c r="F219">
        <v>53300000</v>
      </c>
      <c r="G219">
        <v>3757</v>
      </c>
      <c r="H219">
        <v>5.3600000000000002E-2</v>
      </c>
      <c r="I219" t="b">
        <v>0</v>
      </c>
      <c r="J219">
        <v>1992</v>
      </c>
      <c r="K219" t="s">
        <v>11</v>
      </c>
      <c r="L219" t="s">
        <v>12</v>
      </c>
      <c r="M219">
        <v>3.65</v>
      </c>
      <c r="N219">
        <v>14187</v>
      </c>
      <c r="O219">
        <v>33</v>
      </c>
      <c r="P219" t="str">
        <f>IF('Funding Insights'!$D$5="Industry",Table_startup_data_13[[#This Row],[Industry]],Table_startup_data_13[[#This Row],[Region]])</f>
        <v>HealthTech</v>
      </c>
    </row>
    <row r="220" spans="1:16" x14ac:dyDescent="0.25">
      <c r="A220" t="s">
        <v>482</v>
      </c>
      <c r="B220" t="s">
        <v>22</v>
      </c>
      <c r="C220">
        <v>3</v>
      </c>
      <c r="D220">
        <v>71120000</v>
      </c>
      <c r="E220">
        <v>443220000</v>
      </c>
      <c r="F220">
        <v>40000000</v>
      </c>
      <c r="G220">
        <v>1280</v>
      </c>
      <c r="H220">
        <v>4.1099999999999998E-2</v>
      </c>
      <c r="I220" t="b">
        <v>0</v>
      </c>
      <c r="J220">
        <v>2018</v>
      </c>
      <c r="K220" t="s">
        <v>11</v>
      </c>
      <c r="L220" t="s">
        <v>12</v>
      </c>
      <c r="M220">
        <v>6.23</v>
      </c>
      <c r="N220">
        <v>31250</v>
      </c>
      <c r="O220">
        <v>7</v>
      </c>
      <c r="P220" t="str">
        <f>IF('Funding Insights'!$D$5="Industry",Table_startup_data_13[[#This Row],[Industry]],Table_startup_data_13[[#This Row],[Region]])</f>
        <v>AI</v>
      </c>
    </row>
    <row r="221" spans="1:16" x14ac:dyDescent="0.25">
      <c r="A221" t="s">
        <v>487</v>
      </c>
      <c r="B221" t="s">
        <v>36</v>
      </c>
      <c r="C221">
        <v>4</v>
      </c>
      <c r="D221">
        <v>112170000</v>
      </c>
      <c r="E221">
        <v>460170000</v>
      </c>
      <c r="F221">
        <v>81690000</v>
      </c>
      <c r="G221">
        <v>890</v>
      </c>
      <c r="H221">
        <v>2.5000000000000001E-3</v>
      </c>
      <c r="I221" t="b">
        <v>0</v>
      </c>
      <c r="J221">
        <v>1996</v>
      </c>
      <c r="K221" t="s">
        <v>11</v>
      </c>
      <c r="L221" t="s">
        <v>12</v>
      </c>
      <c r="M221">
        <v>4.0999999999999996</v>
      </c>
      <c r="N221">
        <v>91787</v>
      </c>
      <c r="O221">
        <v>29</v>
      </c>
      <c r="P221" t="str">
        <f>IF('Funding Insights'!$D$5="Industry",Table_startup_data_13[[#This Row],[Industry]],Table_startup_data_13[[#This Row],[Region]])</f>
        <v>Cybersecurity</v>
      </c>
    </row>
    <row r="222" spans="1:16" x14ac:dyDescent="0.25">
      <c r="A222" t="s">
        <v>493</v>
      </c>
      <c r="B222" t="s">
        <v>36</v>
      </c>
      <c r="C222">
        <v>1</v>
      </c>
      <c r="D222">
        <v>121800000</v>
      </c>
      <c r="E222">
        <v>1473560000</v>
      </c>
      <c r="F222">
        <v>54300000</v>
      </c>
      <c r="G222">
        <v>3647</v>
      </c>
      <c r="H222">
        <v>7.46E-2</v>
      </c>
      <c r="I222" t="b">
        <v>1</v>
      </c>
      <c r="J222">
        <v>1996</v>
      </c>
      <c r="K222" t="s">
        <v>11</v>
      </c>
      <c r="L222" t="s">
        <v>12</v>
      </c>
      <c r="M222">
        <v>12.1</v>
      </c>
      <c r="N222">
        <v>14889</v>
      </c>
      <c r="O222">
        <v>29</v>
      </c>
      <c r="P222" t="str">
        <f>IF('Funding Insights'!$D$5="Industry",Table_startup_data_13[[#This Row],[Industry]],Table_startup_data_13[[#This Row],[Region]])</f>
        <v>Cybersecurity</v>
      </c>
    </row>
    <row r="223" spans="1:16" x14ac:dyDescent="0.25">
      <c r="A223" t="s">
        <v>498</v>
      </c>
      <c r="B223" t="s">
        <v>27</v>
      </c>
      <c r="C223">
        <v>5</v>
      </c>
      <c r="D223">
        <v>195810000</v>
      </c>
      <c r="E223">
        <v>807730000</v>
      </c>
      <c r="F223">
        <v>45070000</v>
      </c>
      <c r="G223">
        <v>2900</v>
      </c>
      <c r="H223">
        <v>5.1799999999999999E-2</v>
      </c>
      <c r="I223" t="b">
        <v>1</v>
      </c>
      <c r="J223">
        <v>2006</v>
      </c>
      <c r="K223" t="s">
        <v>11</v>
      </c>
      <c r="L223" t="s">
        <v>12</v>
      </c>
      <c r="M223">
        <v>4.13</v>
      </c>
      <c r="N223">
        <v>15541</v>
      </c>
      <c r="O223">
        <v>19</v>
      </c>
      <c r="P223" t="str">
        <f>IF('Funding Insights'!$D$5="Industry",Table_startup_data_13[[#This Row],[Industry]],Table_startup_data_13[[#This Row],[Region]])</f>
        <v>HealthTech</v>
      </c>
    </row>
    <row r="224" spans="1:16" x14ac:dyDescent="0.25">
      <c r="A224" t="s">
        <v>503</v>
      </c>
      <c r="B224" t="s">
        <v>18</v>
      </c>
      <c r="C224">
        <v>2</v>
      </c>
      <c r="D224">
        <v>176730000</v>
      </c>
      <c r="E224">
        <v>1713660000</v>
      </c>
      <c r="F224">
        <v>1330000</v>
      </c>
      <c r="G224">
        <v>12</v>
      </c>
      <c r="H224">
        <v>4.5199999999999997E-2</v>
      </c>
      <c r="I224" t="b">
        <v>1</v>
      </c>
      <c r="J224">
        <v>1996</v>
      </c>
      <c r="K224" t="s">
        <v>11</v>
      </c>
      <c r="L224" t="s">
        <v>12</v>
      </c>
      <c r="M224">
        <v>9.6999999999999993</v>
      </c>
      <c r="N224">
        <v>110833</v>
      </c>
      <c r="O224">
        <v>29</v>
      </c>
      <c r="P224" t="str">
        <f>IF('Funding Insights'!$D$5="Industry",Table_startup_data_13[[#This Row],[Industry]],Table_startup_data_13[[#This Row],[Region]])</f>
        <v>Gaming</v>
      </c>
    </row>
    <row r="225" spans="1:16" x14ac:dyDescent="0.25">
      <c r="A225" t="s">
        <v>514</v>
      </c>
      <c r="B225" t="s">
        <v>18</v>
      </c>
      <c r="C225">
        <v>3</v>
      </c>
      <c r="D225">
        <v>135110000</v>
      </c>
      <c r="E225">
        <v>1402410000</v>
      </c>
      <c r="F225">
        <v>34040000</v>
      </c>
      <c r="G225">
        <v>4237</v>
      </c>
      <c r="H225">
        <v>8.3299999999999999E-2</v>
      </c>
      <c r="I225" t="b">
        <v>0</v>
      </c>
      <c r="J225">
        <v>2018</v>
      </c>
      <c r="K225" t="s">
        <v>11</v>
      </c>
      <c r="L225" t="s">
        <v>12</v>
      </c>
      <c r="M225">
        <v>10.38</v>
      </c>
      <c r="N225">
        <v>8034</v>
      </c>
      <c r="O225">
        <v>7</v>
      </c>
      <c r="P225" t="str">
        <f>IF('Funding Insights'!$D$5="Industry",Table_startup_data_13[[#This Row],[Industry]],Table_startup_data_13[[#This Row],[Region]])</f>
        <v>Gaming</v>
      </c>
    </row>
    <row r="226" spans="1:16" x14ac:dyDescent="0.25">
      <c r="A226" t="s">
        <v>515</v>
      </c>
      <c r="B226" t="s">
        <v>31</v>
      </c>
      <c r="C226">
        <v>5</v>
      </c>
      <c r="D226">
        <v>176570000</v>
      </c>
      <c r="E226">
        <v>1987230000</v>
      </c>
      <c r="F226">
        <v>51770000</v>
      </c>
      <c r="G226">
        <v>2473</v>
      </c>
      <c r="H226">
        <v>8.4400000000000003E-2</v>
      </c>
      <c r="I226" t="b">
        <v>1</v>
      </c>
      <c r="J226">
        <v>2005</v>
      </c>
      <c r="K226" t="s">
        <v>11</v>
      </c>
      <c r="L226" t="s">
        <v>12</v>
      </c>
      <c r="M226">
        <v>11.25</v>
      </c>
      <c r="N226">
        <v>20934</v>
      </c>
      <c r="O226">
        <v>20</v>
      </c>
      <c r="P226" t="str">
        <f>IF('Funding Insights'!$D$5="Industry",Table_startup_data_13[[#This Row],[Industry]],Table_startup_data_13[[#This Row],[Region]])</f>
        <v>FinTech</v>
      </c>
    </row>
    <row r="227" spans="1:16" x14ac:dyDescent="0.25">
      <c r="A227" t="s">
        <v>520</v>
      </c>
      <c r="B227" t="s">
        <v>14</v>
      </c>
      <c r="C227">
        <v>2</v>
      </c>
      <c r="D227">
        <v>181860000</v>
      </c>
      <c r="E227">
        <v>2378650000</v>
      </c>
      <c r="F227">
        <v>59640000</v>
      </c>
      <c r="G227">
        <v>3331</v>
      </c>
      <c r="H227">
        <v>5.7999999999999996E-3</v>
      </c>
      <c r="I227" t="b">
        <v>1</v>
      </c>
      <c r="J227">
        <v>1993</v>
      </c>
      <c r="K227" t="s">
        <v>11</v>
      </c>
      <c r="L227" t="s">
        <v>12</v>
      </c>
      <c r="M227">
        <v>13.08</v>
      </c>
      <c r="N227">
        <v>17905</v>
      </c>
      <c r="O227">
        <v>32</v>
      </c>
      <c r="P227" t="str">
        <f>IF('Funding Insights'!$D$5="Industry",Table_startup_data_13[[#This Row],[Industry]],Table_startup_data_13[[#This Row],[Region]])</f>
        <v>EdTech</v>
      </c>
    </row>
    <row r="228" spans="1:16" x14ac:dyDescent="0.25">
      <c r="A228" t="s">
        <v>523</v>
      </c>
      <c r="B228" t="s">
        <v>18</v>
      </c>
      <c r="C228">
        <v>5</v>
      </c>
      <c r="D228">
        <v>234650000</v>
      </c>
      <c r="E228">
        <v>2814520000</v>
      </c>
      <c r="F228">
        <v>53160000</v>
      </c>
      <c r="G228">
        <v>4972</v>
      </c>
      <c r="H228">
        <v>5.5300000000000002E-2</v>
      </c>
      <c r="I228" t="b">
        <v>0</v>
      </c>
      <c r="J228">
        <v>2011</v>
      </c>
      <c r="K228" t="s">
        <v>11</v>
      </c>
      <c r="L228" t="s">
        <v>12</v>
      </c>
      <c r="M228">
        <v>11.99</v>
      </c>
      <c r="N228">
        <v>10692</v>
      </c>
      <c r="O228">
        <v>14</v>
      </c>
      <c r="P228" t="str">
        <f>IF('Funding Insights'!$D$5="Industry",Table_startup_data_13[[#This Row],[Industry]],Table_startup_data_13[[#This Row],[Region]])</f>
        <v>Gaming</v>
      </c>
    </row>
    <row r="229" spans="1:16" x14ac:dyDescent="0.25">
      <c r="A229" t="s">
        <v>13</v>
      </c>
      <c r="B229" t="s">
        <v>14</v>
      </c>
      <c r="C229">
        <v>1</v>
      </c>
      <c r="D229">
        <v>247620000</v>
      </c>
      <c r="E229">
        <v>3310830000</v>
      </c>
      <c r="F229">
        <v>75650000</v>
      </c>
      <c r="G229">
        <v>3280</v>
      </c>
      <c r="H229">
        <v>8.1000000000000003E-2</v>
      </c>
      <c r="I229" t="b">
        <v>1</v>
      </c>
      <c r="J229">
        <v>2003</v>
      </c>
      <c r="K229" t="s">
        <v>15</v>
      </c>
      <c r="L229" t="s">
        <v>12</v>
      </c>
      <c r="M229">
        <v>13.37</v>
      </c>
      <c r="N229">
        <v>23064</v>
      </c>
      <c r="O229">
        <v>22</v>
      </c>
      <c r="P229" t="str">
        <f>IF('Funding Insights'!$D$5="Industry",Table_startup_data_13[[#This Row],[Industry]],Table_startup_data_13[[#This Row],[Region]])</f>
        <v>EdTech</v>
      </c>
    </row>
    <row r="230" spans="1:16" x14ac:dyDescent="0.25">
      <c r="A230" t="s">
        <v>16</v>
      </c>
      <c r="B230" t="s">
        <v>14</v>
      </c>
      <c r="C230">
        <v>1</v>
      </c>
      <c r="D230">
        <v>109240000</v>
      </c>
      <c r="E230">
        <v>1059370000</v>
      </c>
      <c r="F230">
        <v>84210000</v>
      </c>
      <c r="G230">
        <v>4933</v>
      </c>
      <c r="H230">
        <v>2.6100000000000002E-2</v>
      </c>
      <c r="I230" t="b">
        <v>1</v>
      </c>
      <c r="J230">
        <v>1995</v>
      </c>
      <c r="K230" t="s">
        <v>15</v>
      </c>
      <c r="L230" t="s">
        <v>12</v>
      </c>
      <c r="M230">
        <v>9.6999999999999993</v>
      </c>
      <c r="N230">
        <v>17071</v>
      </c>
      <c r="O230">
        <v>30</v>
      </c>
      <c r="P230" t="str">
        <f>IF('Funding Insights'!$D$5="Industry",Table_startup_data_13[[#This Row],[Industry]],Table_startup_data_13[[#This Row],[Region]])</f>
        <v>EdTech</v>
      </c>
    </row>
    <row r="231" spans="1:16" x14ac:dyDescent="0.25">
      <c r="A231" t="s">
        <v>17</v>
      </c>
      <c r="B231" t="s">
        <v>18</v>
      </c>
      <c r="C231">
        <v>5</v>
      </c>
      <c r="D231">
        <v>10750000</v>
      </c>
      <c r="E231">
        <v>101900000</v>
      </c>
      <c r="F231">
        <v>47080000</v>
      </c>
      <c r="G231">
        <v>1059</v>
      </c>
      <c r="H231">
        <v>2.53E-2</v>
      </c>
      <c r="I231" t="b">
        <v>0</v>
      </c>
      <c r="J231">
        <v>2003</v>
      </c>
      <c r="K231" t="s">
        <v>15</v>
      </c>
      <c r="L231" t="s">
        <v>12</v>
      </c>
      <c r="M231">
        <v>9.48</v>
      </c>
      <c r="N231">
        <v>44457</v>
      </c>
      <c r="O231">
        <v>22</v>
      </c>
      <c r="P231" t="str">
        <f>IF('Funding Insights'!$D$5="Industry",Table_startup_data_13[[#This Row],[Industry]],Table_startup_data_13[[#This Row],[Region]])</f>
        <v>Gaming</v>
      </c>
    </row>
    <row r="232" spans="1:16" x14ac:dyDescent="0.25">
      <c r="A232" t="s">
        <v>47</v>
      </c>
      <c r="B232" t="s">
        <v>10</v>
      </c>
      <c r="C232">
        <v>2</v>
      </c>
      <c r="D232">
        <v>193690000</v>
      </c>
      <c r="E232">
        <v>1171960000</v>
      </c>
      <c r="F232">
        <v>22620000</v>
      </c>
      <c r="G232">
        <v>128</v>
      </c>
      <c r="H232">
        <v>5.7799999999999997E-2</v>
      </c>
      <c r="I232" t="b">
        <v>0</v>
      </c>
      <c r="J232">
        <v>2003</v>
      </c>
      <c r="K232" t="s">
        <v>15</v>
      </c>
      <c r="L232" t="s">
        <v>12</v>
      </c>
      <c r="M232">
        <v>6.05</v>
      </c>
      <c r="N232">
        <v>176719</v>
      </c>
      <c r="O232">
        <v>22</v>
      </c>
      <c r="P232" t="str">
        <f>IF('Funding Insights'!$D$5="Industry",Table_startup_data_13[[#This Row],[Industry]],Table_startup_data_13[[#This Row],[Region]])</f>
        <v>IoT</v>
      </c>
    </row>
    <row r="233" spans="1:16" x14ac:dyDescent="0.25">
      <c r="A233" t="s">
        <v>57</v>
      </c>
      <c r="B233" t="s">
        <v>22</v>
      </c>
      <c r="C233">
        <v>1</v>
      </c>
      <c r="D233">
        <v>20620000</v>
      </c>
      <c r="E233">
        <v>108470000</v>
      </c>
      <c r="F233">
        <v>69570000</v>
      </c>
      <c r="G233">
        <v>1306</v>
      </c>
      <c r="H233">
        <v>9.5699999999999993E-2</v>
      </c>
      <c r="I233" t="b">
        <v>0</v>
      </c>
      <c r="J233">
        <v>2013</v>
      </c>
      <c r="K233" t="s">
        <v>15</v>
      </c>
      <c r="L233" t="s">
        <v>12</v>
      </c>
      <c r="M233">
        <v>5.26</v>
      </c>
      <c r="N233">
        <v>53270</v>
      </c>
      <c r="O233">
        <v>12</v>
      </c>
      <c r="P233" t="str">
        <f>IF('Funding Insights'!$D$5="Industry",Table_startup_data_13[[#This Row],[Industry]],Table_startup_data_13[[#This Row],[Region]])</f>
        <v>AI</v>
      </c>
    </row>
    <row r="234" spans="1:16" x14ac:dyDescent="0.25">
      <c r="A234" t="s">
        <v>59</v>
      </c>
      <c r="B234" t="s">
        <v>36</v>
      </c>
      <c r="C234">
        <v>1</v>
      </c>
      <c r="D234">
        <v>149490000</v>
      </c>
      <c r="E234">
        <v>728610000</v>
      </c>
      <c r="F234">
        <v>98200000</v>
      </c>
      <c r="G234">
        <v>3145</v>
      </c>
      <c r="H234">
        <v>6.83E-2</v>
      </c>
      <c r="I234" t="b">
        <v>0</v>
      </c>
      <c r="J234">
        <v>1996</v>
      </c>
      <c r="K234" t="s">
        <v>15</v>
      </c>
      <c r="L234" t="s">
        <v>12</v>
      </c>
      <c r="M234">
        <v>4.87</v>
      </c>
      <c r="N234">
        <v>31224</v>
      </c>
      <c r="O234">
        <v>29</v>
      </c>
      <c r="P234" t="str">
        <f>IF('Funding Insights'!$D$5="Industry",Table_startup_data_13[[#This Row],[Industry]],Table_startup_data_13[[#This Row],[Region]])</f>
        <v>Cybersecurity</v>
      </c>
    </row>
    <row r="235" spans="1:16" x14ac:dyDescent="0.25">
      <c r="A235" t="s">
        <v>61</v>
      </c>
      <c r="B235" t="s">
        <v>10</v>
      </c>
      <c r="C235">
        <v>1</v>
      </c>
      <c r="D235">
        <v>32420000</v>
      </c>
      <c r="E235">
        <v>472040000</v>
      </c>
      <c r="F235">
        <v>82530000</v>
      </c>
      <c r="G235">
        <v>2357</v>
      </c>
      <c r="H235">
        <v>4.3700000000000003E-2</v>
      </c>
      <c r="I235" t="b">
        <v>0</v>
      </c>
      <c r="J235">
        <v>2021</v>
      </c>
      <c r="K235" t="s">
        <v>38</v>
      </c>
      <c r="L235" t="s">
        <v>12</v>
      </c>
      <c r="M235">
        <v>14.56</v>
      </c>
      <c r="N235">
        <v>35015</v>
      </c>
      <c r="O235">
        <v>4</v>
      </c>
      <c r="P235" t="str">
        <f>IF('Funding Insights'!$D$5="Industry",Table_startup_data_13[[#This Row],[Industry]],Table_startup_data_13[[#This Row],[Region]])</f>
        <v>IoT</v>
      </c>
    </row>
    <row r="236" spans="1:16" x14ac:dyDescent="0.25">
      <c r="A236" t="s">
        <v>62</v>
      </c>
      <c r="B236" t="s">
        <v>14</v>
      </c>
      <c r="C236">
        <v>5</v>
      </c>
      <c r="D236">
        <v>42440000</v>
      </c>
      <c r="E236">
        <v>257340000</v>
      </c>
      <c r="F236">
        <v>52080000</v>
      </c>
      <c r="G236">
        <v>1937</v>
      </c>
      <c r="H236">
        <v>7.22E-2</v>
      </c>
      <c r="I236" t="b">
        <v>1</v>
      </c>
      <c r="J236">
        <v>2002</v>
      </c>
      <c r="K236" t="s">
        <v>38</v>
      </c>
      <c r="L236" t="s">
        <v>12</v>
      </c>
      <c r="M236">
        <v>6.06</v>
      </c>
      <c r="N236">
        <v>26887</v>
      </c>
      <c r="O236">
        <v>23</v>
      </c>
      <c r="P236" t="str">
        <f>IF('Funding Insights'!$D$5="Industry",Table_startup_data_13[[#This Row],[Industry]],Table_startup_data_13[[#This Row],[Region]])</f>
        <v>EdTech</v>
      </c>
    </row>
    <row r="237" spans="1:16" x14ac:dyDescent="0.25">
      <c r="A237" t="s">
        <v>64</v>
      </c>
      <c r="B237" t="s">
        <v>10</v>
      </c>
      <c r="C237">
        <v>1</v>
      </c>
      <c r="D237">
        <v>80320000</v>
      </c>
      <c r="E237">
        <v>1184200000</v>
      </c>
      <c r="F237">
        <v>12330000</v>
      </c>
      <c r="G237">
        <v>369</v>
      </c>
      <c r="H237">
        <v>4.3299999999999998E-2</v>
      </c>
      <c r="I237" t="b">
        <v>0</v>
      </c>
      <c r="J237">
        <v>2003</v>
      </c>
      <c r="K237" t="s">
        <v>15</v>
      </c>
      <c r="L237" t="s">
        <v>12</v>
      </c>
      <c r="M237">
        <v>14.74</v>
      </c>
      <c r="N237">
        <v>33415</v>
      </c>
      <c r="O237">
        <v>22</v>
      </c>
      <c r="P237" t="str">
        <f>IF('Funding Insights'!$D$5="Industry",Table_startup_data_13[[#This Row],[Industry]],Table_startup_data_13[[#This Row],[Region]])</f>
        <v>IoT</v>
      </c>
    </row>
    <row r="238" spans="1:16" x14ac:dyDescent="0.25">
      <c r="A238" t="s">
        <v>68</v>
      </c>
      <c r="B238" t="s">
        <v>22</v>
      </c>
      <c r="C238">
        <v>5</v>
      </c>
      <c r="D238">
        <v>148540000</v>
      </c>
      <c r="E238">
        <v>1926640000</v>
      </c>
      <c r="F238">
        <v>6350000</v>
      </c>
      <c r="G238">
        <v>1382</v>
      </c>
      <c r="H238">
        <v>4.36E-2</v>
      </c>
      <c r="I238" t="b">
        <v>0</v>
      </c>
      <c r="J238">
        <v>2017</v>
      </c>
      <c r="K238" t="s">
        <v>15</v>
      </c>
      <c r="L238" t="s">
        <v>12</v>
      </c>
      <c r="M238">
        <v>12.97</v>
      </c>
      <c r="N238">
        <v>4595</v>
      </c>
      <c r="O238">
        <v>8</v>
      </c>
      <c r="P238" t="str">
        <f>IF('Funding Insights'!$D$5="Industry",Table_startup_data_13[[#This Row],[Industry]],Table_startup_data_13[[#This Row],[Region]])</f>
        <v>AI</v>
      </c>
    </row>
    <row r="239" spans="1:16" x14ac:dyDescent="0.25">
      <c r="A239" t="s">
        <v>69</v>
      </c>
      <c r="B239" t="s">
        <v>18</v>
      </c>
      <c r="C239">
        <v>5</v>
      </c>
      <c r="D239">
        <v>172200000</v>
      </c>
      <c r="E239">
        <v>2303230000</v>
      </c>
      <c r="F239">
        <v>80160000</v>
      </c>
      <c r="G239">
        <v>1444</v>
      </c>
      <c r="H239">
        <v>9.0499999999999997E-2</v>
      </c>
      <c r="I239" t="b">
        <v>1</v>
      </c>
      <c r="J239">
        <v>2005</v>
      </c>
      <c r="K239" t="s">
        <v>38</v>
      </c>
      <c r="L239" t="s">
        <v>12</v>
      </c>
      <c r="M239">
        <v>13.38</v>
      </c>
      <c r="N239">
        <v>55512</v>
      </c>
      <c r="O239">
        <v>20</v>
      </c>
      <c r="P239" t="str">
        <f>IF('Funding Insights'!$D$5="Industry",Table_startup_data_13[[#This Row],[Industry]],Table_startup_data_13[[#This Row],[Region]])</f>
        <v>Gaming</v>
      </c>
    </row>
    <row r="240" spans="1:16" x14ac:dyDescent="0.25">
      <c r="A240" t="s">
        <v>71</v>
      </c>
      <c r="B240" t="s">
        <v>72</v>
      </c>
      <c r="C240">
        <v>5</v>
      </c>
      <c r="D240">
        <v>121610000</v>
      </c>
      <c r="E240">
        <v>529890000</v>
      </c>
      <c r="F240">
        <v>73390000</v>
      </c>
      <c r="G240">
        <v>4862</v>
      </c>
      <c r="H240">
        <v>4.07E-2</v>
      </c>
      <c r="I240" t="b">
        <v>0</v>
      </c>
      <c r="J240">
        <v>2015</v>
      </c>
      <c r="K240" t="s">
        <v>38</v>
      </c>
      <c r="L240" t="s">
        <v>12</v>
      </c>
      <c r="M240">
        <v>4.3600000000000003</v>
      </c>
      <c r="N240">
        <v>15095</v>
      </c>
      <c r="O240">
        <v>10</v>
      </c>
      <c r="P240" t="str">
        <f>IF('Funding Insights'!$D$5="Industry",Table_startup_data_13[[#This Row],[Industry]],Table_startup_data_13[[#This Row],[Region]])</f>
        <v>E-Commerce</v>
      </c>
    </row>
    <row r="241" spans="1:16" x14ac:dyDescent="0.25">
      <c r="A241" t="s">
        <v>73</v>
      </c>
      <c r="B241" t="s">
        <v>31</v>
      </c>
      <c r="C241">
        <v>2</v>
      </c>
      <c r="D241">
        <v>231390000</v>
      </c>
      <c r="E241">
        <v>2903050000</v>
      </c>
      <c r="F241">
        <v>30010000</v>
      </c>
      <c r="G241">
        <v>345</v>
      </c>
      <c r="H241">
        <v>7.6499999999999999E-2</v>
      </c>
      <c r="I241" t="b">
        <v>1</v>
      </c>
      <c r="J241">
        <v>2017</v>
      </c>
      <c r="K241" t="s">
        <v>15</v>
      </c>
      <c r="L241" t="s">
        <v>12</v>
      </c>
      <c r="M241">
        <v>12.55</v>
      </c>
      <c r="N241">
        <v>86986</v>
      </c>
      <c r="O241">
        <v>8</v>
      </c>
      <c r="P241" t="str">
        <f>IF('Funding Insights'!$D$5="Industry",Table_startup_data_13[[#This Row],[Industry]],Table_startup_data_13[[#This Row],[Region]])</f>
        <v>FinTech</v>
      </c>
    </row>
    <row r="242" spans="1:16" x14ac:dyDescent="0.25">
      <c r="A242" t="s">
        <v>74</v>
      </c>
      <c r="B242" t="s">
        <v>10</v>
      </c>
      <c r="C242">
        <v>2</v>
      </c>
      <c r="D242">
        <v>126900000</v>
      </c>
      <c r="E242">
        <v>1779660000</v>
      </c>
      <c r="F242">
        <v>17430000</v>
      </c>
      <c r="G242">
        <v>2994</v>
      </c>
      <c r="H242">
        <v>8.2500000000000004E-2</v>
      </c>
      <c r="I242" t="b">
        <v>1</v>
      </c>
      <c r="J242">
        <v>2021</v>
      </c>
      <c r="K242" t="s">
        <v>38</v>
      </c>
      <c r="L242" t="s">
        <v>12</v>
      </c>
      <c r="M242">
        <v>14.02</v>
      </c>
      <c r="N242">
        <v>5822</v>
      </c>
      <c r="O242">
        <v>4</v>
      </c>
      <c r="P242" t="str">
        <f>IF('Funding Insights'!$D$5="Industry",Table_startup_data_13[[#This Row],[Industry]],Table_startup_data_13[[#This Row],[Region]])</f>
        <v>IoT</v>
      </c>
    </row>
    <row r="243" spans="1:16" x14ac:dyDescent="0.25">
      <c r="A243" t="s">
        <v>76</v>
      </c>
      <c r="B243" t="s">
        <v>72</v>
      </c>
      <c r="C243">
        <v>1</v>
      </c>
      <c r="D243">
        <v>287610000</v>
      </c>
      <c r="E243">
        <v>4110090000</v>
      </c>
      <c r="F243">
        <v>49670000</v>
      </c>
      <c r="G243">
        <v>1561</v>
      </c>
      <c r="H243">
        <v>5.4899999999999997E-2</v>
      </c>
      <c r="I243" t="b">
        <v>1</v>
      </c>
      <c r="J243">
        <v>2020</v>
      </c>
      <c r="K243" t="s">
        <v>15</v>
      </c>
      <c r="L243" t="s">
        <v>12</v>
      </c>
      <c r="M243">
        <v>14.29</v>
      </c>
      <c r="N243">
        <v>31819</v>
      </c>
      <c r="O243">
        <v>5</v>
      </c>
      <c r="P243" t="str">
        <f>IF('Funding Insights'!$D$5="Industry",Table_startup_data_13[[#This Row],[Industry]],Table_startup_data_13[[#This Row],[Region]])</f>
        <v>E-Commerce</v>
      </c>
    </row>
    <row r="244" spans="1:16" x14ac:dyDescent="0.25">
      <c r="A244" t="s">
        <v>81</v>
      </c>
      <c r="B244" t="s">
        <v>18</v>
      </c>
      <c r="C244">
        <v>5</v>
      </c>
      <c r="D244">
        <v>251210000</v>
      </c>
      <c r="E244">
        <v>1233810000</v>
      </c>
      <c r="F244">
        <v>74020000</v>
      </c>
      <c r="G244">
        <v>1527</v>
      </c>
      <c r="H244">
        <v>4.1999999999999997E-3</v>
      </c>
      <c r="I244" t="b">
        <v>0</v>
      </c>
      <c r="J244">
        <v>2020</v>
      </c>
      <c r="K244" t="s">
        <v>15</v>
      </c>
      <c r="L244" t="s">
        <v>12</v>
      </c>
      <c r="M244">
        <v>4.91</v>
      </c>
      <c r="N244">
        <v>48474</v>
      </c>
      <c r="O244">
        <v>5</v>
      </c>
      <c r="P244" t="str">
        <f>IF('Funding Insights'!$D$5="Industry",Table_startup_data_13[[#This Row],[Industry]],Table_startup_data_13[[#This Row],[Region]])</f>
        <v>Gaming</v>
      </c>
    </row>
    <row r="245" spans="1:16" x14ac:dyDescent="0.25">
      <c r="A245" t="s">
        <v>103</v>
      </c>
      <c r="B245" t="s">
        <v>31</v>
      </c>
      <c r="C245">
        <v>2</v>
      </c>
      <c r="D245">
        <v>211630000</v>
      </c>
      <c r="E245">
        <v>2183590000</v>
      </c>
      <c r="F245">
        <v>5080000</v>
      </c>
      <c r="G245">
        <v>3167</v>
      </c>
      <c r="H245">
        <v>7.1000000000000004E-3</v>
      </c>
      <c r="I245" t="b">
        <v>1</v>
      </c>
      <c r="J245">
        <v>2021</v>
      </c>
      <c r="K245" t="s">
        <v>38</v>
      </c>
      <c r="L245" t="s">
        <v>12</v>
      </c>
      <c r="M245">
        <v>10.32</v>
      </c>
      <c r="N245">
        <v>1604</v>
      </c>
      <c r="O245">
        <v>4</v>
      </c>
      <c r="P245" t="str">
        <f>IF('Funding Insights'!$D$5="Industry",Table_startup_data_13[[#This Row],[Industry]],Table_startup_data_13[[#This Row],[Region]])</f>
        <v>FinTech</v>
      </c>
    </row>
    <row r="246" spans="1:16" x14ac:dyDescent="0.25">
      <c r="A246" t="s">
        <v>105</v>
      </c>
      <c r="B246" t="s">
        <v>36</v>
      </c>
      <c r="C246">
        <v>3</v>
      </c>
      <c r="D246">
        <v>138170000</v>
      </c>
      <c r="E246">
        <v>1045260000</v>
      </c>
      <c r="F246">
        <v>90950000</v>
      </c>
      <c r="G246">
        <v>271</v>
      </c>
      <c r="H246">
        <v>7.2599999999999998E-2</v>
      </c>
      <c r="I246" t="b">
        <v>1</v>
      </c>
      <c r="J246">
        <v>1999</v>
      </c>
      <c r="K246" t="s">
        <v>38</v>
      </c>
      <c r="L246" t="s">
        <v>12</v>
      </c>
      <c r="M246">
        <v>7.57</v>
      </c>
      <c r="N246">
        <v>335609</v>
      </c>
      <c r="O246">
        <v>26</v>
      </c>
      <c r="P246" t="str">
        <f>IF('Funding Insights'!$D$5="Industry",Table_startup_data_13[[#This Row],[Industry]],Table_startup_data_13[[#This Row],[Region]])</f>
        <v>Cybersecurity</v>
      </c>
    </row>
    <row r="247" spans="1:16" x14ac:dyDescent="0.25">
      <c r="A247" t="s">
        <v>107</v>
      </c>
      <c r="B247" t="s">
        <v>72</v>
      </c>
      <c r="C247">
        <v>2</v>
      </c>
      <c r="D247">
        <v>23790000</v>
      </c>
      <c r="E247">
        <v>241650000</v>
      </c>
      <c r="F247">
        <v>800000</v>
      </c>
      <c r="G247">
        <v>1713</v>
      </c>
      <c r="H247">
        <v>2.12E-2</v>
      </c>
      <c r="I247" t="b">
        <v>0</v>
      </c>
      <c r="J247">
        <v>1995</v>
      </c>
      <c r="K247" t="s">
        <v>15</v>
      </c>
      <c r="L247" t="s">
        <v>12</v>
      </c>
      <c r="M247">
        <v>10.16</v>
      </c>
      <c r="N247">
        <v>467</v>
      </c>
      <c r="O247">
        <v>30</v>
      </c>
      <c r="P247" t="str">
        <f>IF('Funding Insights'!$D$5="Industry",Table_startup_data_13[[#This Row],[Industry]],Table_startup_data_13[[#This Row],[Region]])</f>
        <v>E-Commerce</v>
      </c>
    </row>
    <row r="248" spans="1:16" x14ac:dyDescent="0.25">
      <c r="A248" t="s">
        <v>110</v>
      </c>
      <c r="B248" t="s">
        <v>10</v>
      </c>
      <c r="C248">
        <v>2</v>
      </c>
      <c r="D248">
        <v>2070000</v>
      </c>
      <c r="E248">
        <v>6570000</v>
      </c>
      <c r="F248">
        <v>13220000</v>
      </c>
      <c r="G248">
        <v>2298</v>
      </c>
      <c r="H248">
        <v>8.8400000000000006E-2</v>
      </c>
      <c r="I248" t="b">
        <v>0</v>
      </c>
      <c r="J248">
        <v>2006</v>
      </c>
      <c r="K248" t="s">
        <v>15</v>
      </c>
      <c r="L248" t="s">
        <v>12</v>
      </c>
      <c r="M248">
        <v>3.17</v>
      </c>
      <c r="N248">
        <v>5753</v>
      </c>
      <c r="O248">
        <v>19</v>
      </c>
      <c r="P248" t="str">
        <f>IF('Funding Insights'!$D$5="Industry",Table_startup_data_13[[#This Row],[Industry]],Table_startup_data_13[[#This Row],[Region]])</f>
        <v>IoT</v>
      </c>
    </row>
    <row r="249" spans="1:16" x14ac:dyDescent="0.25">
      <c r="A249" t="s">
        <v>113</v>
      </c>
      <c r="B249" t="s">
        <v>72</v>
      </c>
      <c r="C249">
        <v>2</v>
      </c>
      <c r="D249">
        <v>242330000</v>
      </c>
      <c r="E249">
        <v>2595580000</v>
      </c>
      <c r="F249">
        <v>47260000</v>
      </c>
      <c r="G249">
        <v>1515</v>
      </c>
      <c r="H249">
        <v>3.1699999999999999E-2</v>
      </c>
      <c r="I249" t="b">
        <v>1</v>
      </c>
      <c r="J249">
        <v>1993</v>
      </c>
      <c r="K249" t="s">
        <v>38</v>
      </c>
      <c r="L249" t="s">
        <v>12</v>
      </c>
      <c r="M249">
        <v>10.71</v>
      </c>
      <c r="N249">
        <v>31195</v>
      </c>
      <c r="O249">
        <v>32</v>
      </c>
      <c r="P249" t="str">
        <f>IF('Funding Insights'!$D$5="Industry",Table_startup_data_13[[#This Row],[Industry]],Table_startup_data_13[[#This Row],[Region]])</f>
        <v>E-Commerce</v>
      </c>
    </row>
    <row r="250" spans="1:16" x14ac:dyDescent="0.25">
      <c r="A250" t="s">
        <v>117</v>
      </c>
      <c r="B250" t="s">
        <v>14</v>
      </c>
      <c r="C250">
        <v>4</v>
      </c>
      <c r="D250">
        <v>156630000</v>
      </c>
      <c r="E250">
        <v>2258250000</v>
      </c>
      <c r="F250">
        <v>3730000</v>
      </c>
      <c r="G250">
        <v>1965</v>
      </c>
      <c r="H250">
        <v>7.6100000000000001E-2</v>
      </c>
      <c r="I250" t="b">
        <v>0</v>
      </c>
      <c r="J250">
        <v>2021</v>
      </c>
      <c r="K250" t="s">
        <v>15</v>
      </c>
      <c r="L250" t="s">
        <v>12</v>
      </c>
      <c r="M250">
        <v>14.42</v>
      </c>
      <c r="N250">
        <v>1898</v>
      </c>
      <c r="O250">
        <v>4</v>
      </c>
      <c r="P250" t="str">
        <f>IF('Funding Insights'!$D$5="Industry",Table_startup_data_13[[#This Row],[Industry]],Table_startup_data_13[[#This Row],[Region]])</f>
        <v>EdTech</v>
      </c>
    </row>
    <row r="251" spans="1:16" x14ac:dyDescent="0.25">
      <c r="A251" t="s">
        <v>123</v>
      </c>
      <c r="B251" t="s">
        <v>72</v>
      </c>
      <c r="C251">
        <v>4</v>
      </c>
      <c r="D251">
        <v>217370000</v>
      </c>
      <c r="E251">
        <v>2025780000</v>
      </c>
      <c r="F251">
        <v>42950000</v>
      </c>
      <c r="G251">
        <v>4964</v>
      </c>
      <c r="H251">
        <v>1.34E-2</v>
      </c>
      <c r="I251" t="b">
        <v>0</v>
      </c>
      <c r="J251">
        <v>2011</v>
      </c>
      <c r="K251" t="s">
        <v>38</v>
      </c>
      <c r="L251" t="s">
        <v>12</v>
      </c>
      <c r="M251">
        <v>9.32</v>
      </c>
      <c r="N251">
        <v>8652</v>
      </c>
      <c r="O251">
        <v>14</v>
      </c>
      <c r="P251" t="str">
        <f>IF('Funding Insights'!$D$5="Industry",Table_startup_data_13[[#This Row],[Industry]],Table_startup_data_13[[#This Row],[Region]])</f>
        <v>E-Commerce</v>
      </c>
    </row>
    <row r="252" spans="1:16" x14ac:dyDescent="0.25">
      <c r="A252" t="s">
        <v>125</v>
      </c>
      <c r="B252" t="s">
        <v>14</v>
      </c>
      <c r="C252">
        <v>1</v>
      </c>
      <c r="D252">
        <v>294180000</v>
      </c>
      <c r="E252">
        <v>2565350000</v>
      </c>
      <c r="F252">
        <v>26890000</v>
      </c>
      <c r="G252">
        <v>4795</v>
      </c>
      <c r="H252">
        <v>0.1</v>
      </c>
      <c r="I252" t="b">
        <v>0</v>
      </c>
      <c r="J252">
        <v>2002</v>
      </c>
      <c r="K252" t="s">
        <v>15</v>
      </c>
      <c r="L252" t="s">
        <v>12</v>
      </c>
      <c r="M252">
        <v>8.7200000000000006</v>
      </c>
      <c r="N252">
        <v>5608</v>
      </c>
      <c r="O252">
        <v>23</v>
      </c>
      <c r="P252" t="str">
        <f>IF('Funding Insights'!$D$5="Industry",Table_startup_data_13[[#This Row],[Industry]],Table_startup_data_13[[#This Row],[Region]])</f>
        <v>EdTech</v>
      </c>
    </row>
    <row r="253" spans="1:16" x14ac:dyDescent="0.25">
      <c r="A253" t="s">
        <v>136</v>
      </c>
      <c r="B253" t="s">
        <v>31</v>
      </c>
      <c r="C253">
        <v>3</v>
      </c>
      <c r="D253">
        <v>94200000</v>
      </c>
      <c r="E253">
        <v>1022670000</v>
      </c>
      <c r="F253">
        <v>73270000</v>
      </c>
      <c r="G253">
        <v>3807</v>
      </c>
      <c r="H253">
        <v>5.2200000000000003E-2</v>
      </c>
      <c r="I253" t="b">
        <v>0</v>
      </c>
      <c r="J253">
        <v>2008</v>
      </c>
      <c r="K253" t="s">
        <v>38</v>
      </c>
      <c r="L253" t="s">
        <v>12</v>
      </c>
      <c r="M253">
        <v>10.86</v>
      </c>
      <c r="N253">
        <v>19246</v>
      </c>
      <c r="O253">
        <v>17</v>
      </c>
      <c r="P253" t="str">
        <f>IF('Funding Insights'!$D$5="Industry",Table_startup_data_13[[#This Row],[Industry]],Table_startup_data_13[[#This Row],[Region]])</f>
        <v>FinTech</v>
      </c>
    </row>
    <row r="254" spans="1:16" x14ac:dyDescent="0.25">
      <c r="A254" t="s">
        <v>140</v>
      </c>
      <c r="B254" t="s">
        <v>27</v>
      </c>
      <c r="C254">
        <v>3</v>
      </c>
      <c r="D254">
        <v>35030000</v>
      </c>
      <c r="E254">
        <v>186870000</v>
      </c>
      <c r="F254">
        <v>39410000</v>
      </c>
      <c r="G254">
        <v>3827</v>
      </c>
      <c r="H254">
        <v>3.6799999999999999E-2</v>
      </c>
      <c r="I254" t="b">
        <v>1</v>
      </c>
      <c r="J254">
        <v>2014</v>
      </c>
      <c r="K254" t="s">
        <v>15</v>
      </c>
      <c r="L254" t="s">
        <v>12</v>
      </c>
      <c r="M254">
        <v>5.33</v>
      </c>
      <c r="N254">
        <v>10298</v>
      </c>
      <c r="O254">
        <v>11</v>
      </c>
      <c r="P254" t="str">
        <f>IF('Funding Insights'!$D$5="Industry",Table_startup_data_13[[#This Row],[Industry]],Table_startup_data_13[[#This Row],[Region]])</f>
        <v>HealthTech</v>
      </c>
    </row>
    <row r="255" spans="1:16" x14ac:dyDescent="0.25">
      <c r="A255" t="s">
        <v>148</v>
      </c>
      <c r="B255" t="s">
        <v>31</v>
      </c>
      <c r="C255">
        <v>2</v>
      </c>
      <c r="D255">
        <v>195230000</v>
      </c>
      <c r="E255">
        <v>795660000</v>
      </c>
      <c r="F255">
        <v>19200000</v>
      </c>
      <c r="G255">
        <v>120</v>
      </c>
      <c r="H255">
        <v>9.7299999999999998E-2</v>
      </c>
      <c r="I255" t="b">
        <v>0</v>
      </c>
      <c r="J255">
        <v>1999</v>
      </c>
      <c r="K255" t="s">
        <v>38</v>
      </c>
      <c r="L255" t="s">
        <v>12</v>
      </c>
      <c r="M255">
        <v>4.08</v>
      </c>
      <c r="N255">
        <v>160000</v>
      </c>
      <c r="O255">
        <v>26</v>
      </c>
      <c r="P255" t="str">
        <f>IF('Funding Insights'!$D$5="Industry",Table_startup_data_13[[#This Row],[Industry]],Table_startup_data_13[[#This Row],[Region]])</f>
        <v>FinTech</v>
      </c>
    </row>
    <row r="256" spans="1:16" x14ac:dyDescent="0.25">
      <c r="A256" t="s">
        <v>150</v>
      </c>
      <c r="B256" t="s">
        <v>31</v>
      </c>
      <c r="C256">
        <v>2</v>
      </c>
      <c r="D256">
        <v>168420000</v>
      </c>
      <c r="E256">
        <v>1313480000</v>
      </c>
      <c r="F256">
        <v>30940000</v>
      </c>
      <c r="G256">
        <v>4981</v>
      </c>
      <c r="H256">
        <v>1.67E-2</v>
      </c>
      <c r="I256" t="b">
        <v>1</v>
      </c>
      <c r="J256">
        <v>2000</v>
      </c>
      <c r="K256" t="s">
        <v>38</v>
      </c>
      <c r="L256" t="s">
        <v>12</v>
      </c>
      <c r="M256">
        <v>7.8</v>
      </c>
      <c r="N256">
        <v>6212</v>
      </c>
      <c r="O256">
        <v>25</v>
      </c>
      <c r="P256" t="str">
        <f>IF('Funding Insights'!$D$5="Industry",Table_startup_data_13[[#This Row],[Industry]],Table_startup_data_13[[#This Row],[Region]])</f>
        <v>FinTech</v>
      </c>
    </row>
    <row r="257" spans="1:16" x14ac:dyDescent="0.25">
      <c r="A257" t="s">
        <v>154</v>
      </c>
      <c r="B257" t="s">
        <v>10</v>
      </c>
      <c r="C257">
        <v>5</v>
      </c>
      <c r="D257">
        <v>132590000</v>
      </c>
      <c r="E257">
        <v>593830000</v>
      </c>
      <c r="F257">
        <v>2300000</v>
      </c>
      <c r="G257">
        <v>947</v>
      </c>
      <c r="H257">
        <v>1.3100000000000001E-2</v>
      </c>
      <c r="I257" t="b">
        <v>1</v>
      </c>
      <c r="J257">
        <v>1996</v>
      </c>
      <c r="K257" t="s">
        <v>38</v>
      </c>
      <c r="L257" t="s">
        <v>12</v>
      </c>
      <c r="M257">
        <v>4.4800000000000004</v>
      </c>
      <c r="N257">
        <v>2429</v>
      </c>
      <c r="O257">
        <v>29</v>
      </c>
      <c r="P257" t="str">
        <f>IF('Funding Insights'!$D$5="Industry",Table_startup_data_13[[#This Row],[Industry]],Table_startup_data_13[[#This Row],[Region]])</f>
        <v>IoT</v>
      </c>
    </row>
    <row r="258" spans="1:16" x14ac:dyDescent="0.25">
      <c r="A258" t="s">
        <v>158</v>
      </c>
      <c r="B258" t="s">
        <v>22</v>
      </c>
      <c r="C258">
        <v>5</v>
      </c>
      <c r="D258">
        <v>161750000</v>
      </c>
      <c r="E258">
        <v>1058390000</v>
      </c>
      <c r="F258">
        <v>68410000</v>
      </c>
      <c r="G258">
        <v>1142</v>
      </c>
      <c r="H258">
        <v>4.1000000000000003E-3</v>
      </c>
      <c r="I258" t="b">
        <v>1</v>
      </c>
      <c r="J258">
        <v>2007</v>
      </c>
      <c r="K258" t="s">
        <v>15</v>
      </c>
      <c r="L258" t="s">
        <v>12</v>
      </c>
      <c r="M258">
        <v>6.54</v>
      </c>
      <c r="N258">
        <v>59904</v>
      </c>
      <c r="O258">
        <v>18</v>
      </c>
      <c r="P258" t="str">
        <f>IF('Funding Insights'!$D$5="Industry",Table_startup_data_13[[#This Row],[Industry]],Table_startup_data_13[[#This Row],[Region]])</f>
        <v>AI</v>
      </c>
    </row>
    <row r="259" spans="1:16" x14ac:dyDescent="0.25">
      <c r="A259" t="s">
        <v>160</v>
      </c>
      <c r="B259" t="s">
        <v>31</v>
      </c>
      <c r="C259">
        <v>1</v>
      </c>
      <c r="D259">
        <v>221490000</v>
      </c>
      <c r="E259">
        <v>1156780000</v>
      </c>
      <c r="F259">
        <v>98050000</v>
      </c>
      <c r="G259">
        <v>4122</v>
      </c>
      <c r="H259">
        <v>1.5100000000000001E-2</v>
      </c>
      <c r="I259" t="b">
        <v>0</v>
      </c>
      <c r="J259">
        <v>2005</v>
      </c>
      <c r="K259" t="s">
        <v>15</v>
      </c>
      <c r="L259" t="s">
        <v>12</v>
      </c>
      <c r="M259">
        <v>5.22</v>
      </c>
      <c r="N259">
        <v>23787</v>
      </c>
      <c r="O259">
        <v>20</v>
      </c>
      <c r="P259" t="str">
        <f>IF('Funding Insights'!$D$5="Industry",Table_startup_data_13[[#This Row],[Industry]],Table_startup_data_13[[#This Row],[Region]])</f>
        <v>FinTech</v>
      </c>
    </row>
    <row r="260" spans="1:16" x14ac:dyDescent="0.25">
      <c r="A260" t="s">
        <v>161</v>
      </c>
      <c r="B260" t="s">
        <v>22</v>
      </c>
      <c r="C260">
        <v>5</v>
      </c>
      <c r="D260">
        <v>156290000</v>
      </c>
      <c r="E260">
        <v>2190100000</v>
      </c>
      <c r="F260">
        <v>22820000</v>
      </c>
      <c r="G260">
        <v>3425</v>
      </c>
      <c r="H260">
        <v>2.2100000000000002E-2</v>
      </c>
      <c r="I260" t="b">
        <v>1</v>
      </c>
      <c r="J260">
        <v>2007</v>
      </c>
      <c r="K260" t="s">
        <v>38</v>
      </c>
      <c r="L260" t="s">
        <v>12</v>
      </c>
      <c r="M260">
        <v>14.01</v>
      </c>
      <c r="N260">
        <v>6663</v>
      </c>
      <c r="O260">
        <v>18</v>
      </c>
      <c r="P260" t="str">
        <f>IF('Funding Insights'!$D$5="Industry",Table_startup_data_13[[#This Row],[Industry]],Table_startup_data_13[[#This Row],[Region]])</f>
        <v>AI</v>
      </c>
    </row>
    <row r="261" spans="1:16" x14ac:dyDescent="0.25">
      <c r="A261" t="s">
        <v>162</v>
      </c>
      <c r="B261" t="s">
        <v>10</v>
      </c>
      <c r="C261">
        <v>1</v>
      </c>
      <c r="D261">
        <v>128330000</v>
      </c>
      <c r="E261">
        <v>1038750000</v>
      </c>
      <c r="F261">
        <v>40460000</v>
      </c>
      <c r="G261">
        <v>4783</v>
      </c>
      <c r="H261">
        <v>6.6799999999999998E-2</v>
      </c>
      <c r="I261" t="b">
        <v>1</v>
      </c>
      <c r="J261">
        <v>2015</v>
      </c>
      <c r="K261" t="s">
        <v>38</v>
      </c>
      <c r="L261" t="s">
        <v>12</v>
      </c>
      <c r="M261">
        <v>8.09</v>
      </c>
      <c r="N261">
        <v>8459</v>
      </c>
      <c r="O261">
        <v>10</v>
      </c>
      <c r="P261" t="str">
        <f>IF('Funding Insights'!$D$5="Industry",Table_startup_data_13[[#This Row],[Industry]],Table_startup_data_13[[#This Row],[Region]])</f>
        <v>IoT</v>
      </c>
    </row>
    <row r="262" spans="1:16" x14ac:dyDescent="0.25">
      <c r="A262" t="s">
        <v>165</v>
      </c>
      <c r="B262" t="s">
        <v>36</v>
      </c>
      <c r="C262">
        <v>2</v>
      </c>
      <c r="D262">
        <v>138850000</v>
      </c>
      <c r="E262">
        <v>1038890000</v>
      </c>
      <c r="F262">
        <v>54930000</v>
      </c>
      <c r="G262">
        <v>2958</v>
      </c>
      <c r="H262">
        <v>7.6700000000000004E-2</v>
      </c>
      <c r="I262" t="b">
        <v>0</v>
      </c>
      <c r="J262">
        <v>2001</v>
      </c>
      <c r="K262" t="s">
        <v>15</v>
      </c>
      <c r="L262" t="s">
        <v>12</v>
      </c>
      <c r="M262">
        <v>7.48</v>
      </c>
      <c r="N262">
        <v>18570</v>
      </c>
      <c r="O262">
        <v>24</v>
      </c>
      <c r="P262" t="str">
        <f>IF('Funding Insights'!$D$5="Industry",Table_startup_data_13[[#This Row],[Industry]],Table_startup_data_13[[#This Row],[Region]])</f>
        <v>Cybersecurity</v>
      </c>
    </row>
    <row r="263" spans="1:16" x14ac:dyDescent="0.25">
      <c r="A263" t="s">
        <v>167</v>
      </c>
      <c r="B263" t="s">
        <v>18</v>
      </c>
      <c r="C263">
        <v>2</v>
      </c>
      <c r="D263">
        <v>570000</v>
      </c>
      <c r="E263">
        <v>2480000</v>
      </c>
      <c r="F263">
        <v>22690000</v>
      </c>
      <c r="G263">
        <v>4226</v>
      </c>
      <c r="H263">
        <v>4.41E-2</v>
      </c>
      <c r="I263" t="b">
        <v>0</v>
      </c>
      <c r="J263">
        <v>1993</v>
      </c>
      <c r="K263" t="s">
        <v>15</v>
      </c>
      <c r="L263" t="s">
        <v>12</v>
      </c>
      <c r="M263">
        <v>4.3499999999999996</v>
      </c>
      <c r="N263">
        <v>5369</v>
      </c>
      <c r="O263">
        <v>32</v>
      </c>
      <c r="P263" t="str">
        <f>IF('Funding Insights'!$D$5="Industry",Table_startup_data_13[[#This Row],[Industry]],Table_startup_data_13[[#This Row],[Region]])</f>
        <v>Gaming</v>
      </c>
    </row>
    <row r="264" spans="1:16" x14ac:dyDescent="0.25">
      <c r="A264" t="s">
        <v>176</v>
      </c>
      <c r="B264" t="s">
        <v>18</v>
      </c>
      <c r="C264">
        <v>1</v>
      </c>
      <c r="D264">
        <v>144190000</v>
      </c>
      <c r="E264">
        <v>2000020000</v>
      </c>
      <c r="F264">
        <v>74950000</v>
      </c>
      <c r="G264">
        <v>3239</v>
      </c>
      <c r="H264">
        <v>1.3299999999999999E-2</v>
      </c>
      <c r="I264" t="b">
        <v>1</v>
      </c>
      <c r="J264">
        <v>2002</v>
      </c>
      <c r="K264" t="s">
        <v>15</v>
      </c>
      <c r="L264" t="s">
        <v>12</v>
      </c>
      <c r="M264">
        <v>13.87</v>
      </c>
      <c r="N264">
        <v>23140</v>
      </c>
      <c r="O264">
        <v>23</v>
      </c>
      <c r="P264" t="str">
        <f>IF('Funding Insights'!$D$5="Industry",Table_startup_data_13[[#This Row],[Industry]],Table_startup_data_13[[#This Row],[Region]])</f>
        <v>Gaming</v>
      </c>
    </row>
    <row r="265" spans="1:16" x14ac:dyDescent="0.25">
      <c r="A265" t="s">
        <v>183</v>
      </c>
      <c r="B265" t="s">
        <v>72</v>
      </c>
      <c r="C265">
        <v>4</v>
      </c>
      <c r="D265">
        <v>219820000</v>
      </c>
      <c r="E265">
        <v>2430570000</v>
      </c>
      <c r="F265">
        <v>49780000</v>
      </c>
      <c r="G265">
        <v>546</v>
      </c>
      <c r="H265">
        <v>7.0900000000000005E-2</v>
      </c>
      <c r="I265" t="b">
        <v>0</v>
      </c>
      <c r="J265">
        <v>2005</v>
      </c>
      <c r="K265" t="s">
        <v>15</v>
      </c>
      <c r="L265" t="s">
        <v>12</v>
      </c>
      <c r="M265">
        <v>11.06</v>
      </c>
      <c r="N265">
        <v>91172</v>
      </c>
      <c r="O265">
        <v>20</v>
      </c>
      <c r="P265" t="str">
        <f>IF('Funding Insights'!$D$5="Industry",Table_startup_data_13[[#This Row],[Industry]],Table_startup_data_13[[#This Row],[Region]])</f>
        <v>E-Commerce</v>
      </c>
    </row>
    <row r="266" spans="1:16" x14ac:dyDescent="0.25">
      <c r="A266" t="s">
        <v>187</v>
      </c>
      <c r="B266" t="s">
        <v>14</v>
      </c>
      <c r="C266">
        <v>5</v>
      </c>
      <c r="D266">
        <v>255920000</v>
      </c>
      <c r="E266">
        <v>2069710000</v>
      </c>
      <c r="F266">
        <v>75870000</v>
      </c>
      <c r="G266">
        <v>3368</v>
      </c>
      <c r="H266">
        <v>3.1600000000000003E-2</v>
      </c>
      <c r="I266" t="b">
        <v>1</v>
      </c>
      <c r="J266">
        <v>2019</v>
      </c>
      <c r="K266" t="s">
        <v>38</v>
      </c>
      <c r="L266" t="s">
        <v>12</v>
      </c>
      <c r="M266">
        <v>8.09</v>
      </c>
      <c r="N266">
        <v>22527</v>
      </c>
      <c r="O266">
        <v>6</v>
      </c>
      <c r="P266" t="str">
        <f>IF('Funding Insights'!$D$5="Industry",Table_startup_data_13[[#This Row],[Industry]],Table_startup_data_13[[#This Row],[Region]])</f>
        <v>EdTech</v>
      </c>
    </row>
    <row r="267" spans="1:16" x14ac:dyDescent="0.25">
      <c r="A267" t="s">
        <v>189</v>
      </c>
      <c r="B267" t="s">
        <v>22</v>
      </c>
      <c r="C267">
        <v>3</v>
      </c>
      <c r="D267">
        <v>176940000</v>
      </c>
      <c r="E267">
        <v>1030290000</v>
      </c>
      <c r="F267">
        <v>1890000</v>
      </c>
      <c r="G267">
        <v>1577</v>
      </c>
      <c r="H267">
        <v>1.2699999999999999E-2</v>
      </c>
      <c r="I267" t="b">
        <v>0</v>
      </c>
      <c r="J267">
        <v>2005</v>
      </c>
      <c r="K267" t="s">
        <v>38</v>
      </c>
      <c r="L267" t="s">
        <v>12</v>
      </c>
      <c r="M267">
        <v>5.82</v>
      </c>
      <c r="N267">
        <v>1198</v>
      </c>
      <c r="O267">
        <v>20</v>
      </c>
      <c r="P267" t="str">
        <f>IF('Funding Insights'!$D$5="Industry",Table_startup_data_13[[#This Row],[Industry]],Table_startup_data_13[[#This Row],[Region]])</f>
        <v>AI</v>
      </c>
    </row>
    <row r="268" spans="1:16" x14ac:dyDescent="0.25">
      <c r="A268" t="s">
        <v>193</v>
      </c>
      <c r="B268" t="s">
        <v>14</v>
      </c>
      <c r="C268">
        <v>4</v>
      </c>
      <c r="D268">
        <v>33290000</v>
      </c>
      <c r="E268">
        <v>171160000</v>
      </c>
      <c r="F268">
        <v>25620000</v>
      </c>
      <c r="G268">
        <v>4748</v>
      </c>
      <c r="H268">
        <v>2.3400000000000001E-2</v>
      </c>
      <c r="I268" t="b">
        <v>1</v>
      </c>
      <c r="J268">
        <v>2018</v>
      </c>
      <c r="K268" t="s">
        <v>15</v>
      </c>
      <c r="L268" t="s">
        <v>12</v>
      </c>
      <c r="M268">
        <v>5.14</v>
      </c>
      <c r="N268">
        <v>5396</v>
      </c>
      <c r="O268">
        <v>7</v>
      </c>
      <c r="P268" t="str">
        <f>IF('Funding Insights'!$D$5="Industry",Table_startup_data_13[[#This Row],[Industry]],Table_startup_data_13[[#This Row],[Region]])</f>
        <v>EdTech</v>
      </c>
    </row>
    <row r="269" spans="1:16" x14ac:dyDescent="0.25">
      <c r="A269" t="s">
        <v>197</v>
      </c>
      <c r="B269" t="s">
        <v>36</v>
      </c>
      <c r="C269">
        <v>3</v>
      </c>
      <c r="D269">
        <v>239500000</v>
      </c>
      <c r="E269">
        <v>2552000000</v>
      </c>
      <c r="F269">
        <v>55840000</v>
      </c>
      <c r="G269">
        <v>261</v>
      </c>
      <c r="H269">
        <v>6.2899999999999998E-2</v>
      </c>
      <c r="I269" t="b">
        <v>1</v>
      </c>
      <c r="J269">
        <v>2002</v>
      </c>
      <c r="K269" t="s">
        <v>38</v>
      </c>
      <c r="L269" t="s">
        <v>12</v>
      </c>
      <c r="M269">
        <v>10.66</v>
      </c>
      <c r="N269">
        <v>213946</v>
      </c>
      <c r="O269">
        <v>23</v>
      </c>
      <c r="P269" t="str">
        <f>IF('Funding Insights'!$D$5="Industry",Table_startup_data_13[[#This Row],[Industry]],Table_startup_data_13[[#This Row],[Region]])</f>
        <v>Cybersecurity</v>
      </c>
    </row>
    <row r="270" spans="1:16" x14ac:dyDescent="0.25">
      <c r="A270" t="s">
        <v>198</v>
      </c>
      <c r="B270" t="s">
        <v>36</v>
      </c>
      <c r="C270">
        <v>3</v>
      </c>
      <c r="D270">
        <v>78070000</v>
      </c>
      <c r="E270">
        <v>474870000</v>
      </c>
      <c r="F270">
        <v>55300000</v>
      </c>
      <c r="G270">
        <v>3752</v>
      </c>
      <c r="H270">
        <v>3.2300000000000002E-2</v>
      </c>
      <c r="I270" t="b">
        <v>0</v>
      </c>
      <c r="J270">
        <v>2010</v>
      </c>
      <c r="K270" t="s">
        <v>38</v>
      </c>
      <c r="L270" t="s">
        <v>12</v>
      </c>
      <c r="M270">
        <v>6.08</v>
      </c>
      <c r="N270">
        <v>14739</v>
      </c>
      <c r="O270">
        <v>15</v>
      </c>
      <c r="P270" t="str">
        <f>IF('Funding Insights'!$D$5="Industry",Table_startup_data_13[[#This Row],[Industry]],Table_startup_data_13[[#This Row],[Region]])</f>
        <v>Cybersecurity</v>
      </c>
    </row>
    <row r="271" spans="1:16" x14ac:dyDescent="0.25">
      <c r="A271" t="s">
        <v>200</v>
      </c>
      <c r="B271" t="s">
        <v>14</v>
      </c>
      <c r="C271">
        <v>5</v>
      </c>
      <c r="D271">
        <v>294710000</v>
      </c>
      <c r="E271">
        <v>1090860000</v>
      </c>
      <c r="F271">
        <v>34430000</v>
      </c>
      <c r="G271">
        <v>2246</v>
      </c>
      <c r="H271">
        <v>5.0700000000000002E-2</v>
      </c>
      <c r="I271" t="b">
        <v>1</v>
      </c>
      <c r="J271">
        <v>2018</v>
      </c>
      <c r="K271" t="s">
        <v>15</v>
      </c>
      <c r="L271" t="s">
        <v>12</v>
      </c>
      <c r="M271">
        <v>3.7</v>
      </c>
      <c r="N271">
        <v>15329</v>
      </c>
      <c r="O271">
        <v>7</v>
      </c>
      <c r="P271" t="str">
        <f>IF('Funding Insights'!$D$5="Industry",Table_startup_data_13[[#This Row],[Industry]],Table_startup_data_13[[#This Row],[Region]])</f>
        <v>EdTech</v>
      </c>
    </row>
    <row r="272" spans="1:16" x14ac:dyDescent="0.25">
      <c r="A272" t="s">
        <v>202</v>
      </c>
      <c r="B272" t="s">
        <v>18</v>
      </c>
      <c r="C272">
        <v>2</v>
      </c>
      <c r="D272">
        <v>180440000</v>
      </c>
      <c r="E272">
        <v>1135780000</v>
      </c>
      <c r="F272">
        <v>39130000</v>
      </c>
      <c r="G272">
        <v>3611</v>
      </c>
      <c r="H272">
        <v>3.2000000000000001E-2</v>
      </c>
      <c r="I272" t="b">
        <v>0</v>
      </c>
      <c r="J272">
        <v>2014</v>
      </c>
      <c r="K272" t="s">
        <v>15</v>
      </c>
      <c r="L272" t="s">
        <v>12</v>
      </c>
      <c r="M272">
        <v>6.29</v>
      </c>
      <c r="N272">
        <v>10836</v>
      </c>
      <c r="O272">
        <v>11</v>
      </c>
      <c r="P272" t="str">
        <f>IF('Funding Insights'!$D$5="Industry",Table_startup_data_13[[#This Row],[Industry]],Table_startup_data_13[[#This Row],[Region]])</f>
        <v>Gaming</v>
      </c>
    </row>
    <row r="273" spans="1:16" x14ac:dyDescent="0.25">
      <c r="A273" t="s">
        <v>207</v>
      </c>
      <c r="B273" t="s">
        <v>10</v>
      </c>
      <c r="C273">
        <v>1</v>
      </c>
      <c r="D273">
        <v>120770000</v>
      </c>
      <c r="E273">
        <v>1412310000</v>
      </c>
      <c r="F273">
        <v>9430000</v>
      </c>
      <c r="G273">
        <v>1386</v>
      </c>
      <c r="H273">
        <v>2.5499999999999998E-2</v>
      </c>
      <c r="I273" t="b">
        <v>1</v>
      </c>
      <c r="J273">
        <v>2005</v>
      </c>
      <c r="K273" t="s">
        <v>15</v>
      </c>
      <c r="L273" t="s">
        <v>12</v>
      </c>
      <c r="M273">
        <v>11.69</v>
      </c>
      <c r="N273">
        <v>6804</v>
      </c>
      <c r="O273">
        <v>20</v>
      </c>
      <c r="P273" t="str">
        <f>IF('Funding Insights'!$D$5="Industry",Table_startup_data_13[[#This Row],[Industry]],Table_startup_data_13[[#This Row],[Region]])</f>
        <v>IoT</v>
      </c>
    </row>
    <row r="274" spans="1:16" x14ac:dyDescent="0.25">
      <c r="A274" t="s">
        <v>209</v>
      </c>
      <c r="B274" t="s">
        <v>22</v>
      </c>
      <c r="C274">
        <v>5</v>
      </c>
      <c r="D274">
        <v>69560000</v>
      </c>
      <c r="E274">
        <v>493390000</v>
      </c>
      <c r="F274">
        <v>19640000</v>
      </c>
      <c r="G274">
        <v>3431</v>
      </c>
      <c r="H274">
        <v>1.95E-2</v>
      </c>
      <c r="I274" t="b">
        <v>0</v>
      </c>
      <c r="J274">
        <v>1994</v>
      </c>
      <c r="K274" t="s">
        <v>15</v>
      </c>
      <c r="L274" t="s">
        <v>12</v>
      </c>
      <c r="M274">
        <v>7.09</v>
      </c>
      <c r="N274">
        <v>5724</v>
      </c>
      <c r="O274">
        <v>31</v>
      </c>
      <c r="P274" t="str">
        <f>IF('Funding Insights'!$D$5="Industry",Table_startup_data_13[[#This Row],[Industry]],Table_startup_data_13[[#This Row],[Region]])</f>
        <v>AI</v>
      </c>
    </row>
    <row r="275" spans="1:16" x14ac:dyDescent="0.25">
      <c r="A275" t="s">
        <v>214</v>
      </c>
      <c r="B275" t="s">
        <v>31</v>
      </c>
      <c r="C275">
        <v>3</v>
      </c>
      <c r="D275">
        <v>11500000</v>
      </c>
      <c r="E275">
        <v>141120000</v>
      </c>
      <c r="F275">
        <v>27720000</v>
      </c>
      <c r="G275">
        <v>3761</v>
      </c>
      <c r="H275">
        <v>9.3600000000000003E-2</v>
      </c>
      <c r="I275" t="b">
        <v>1</v>
      </c>
      <c r="J275">
        <v>2018</v>
      </c>
      <c r="K275" t="s">
        <v>38</v>
      </c>
      <c r="L275" t="s">
        <v>12</v>
      </c>
      <c r="M275">
        <v>12.27</v>
      </c>
      <c r="N275">
        <v>7370</v>
      </c>
      <c r="O275">
        <v>7</v>
      </c>
      <c r="P275" t="str">
        <f>IF('Funding Insights'!$D$5="Industry",Table_startup_data_13[[#This Row],[Industry]],Table_startup_data_13[[#This Row],[Region]])</f>
        <v>FinTech</v>
      </c>
    </row>
    <row r="276" spans="1:16" x14ac:dyDescent="0.25">
      <c r="A276" t="s">
        <v>216</v>
      </c>
      <c r="B276" t="s">
        <v>36</v>
      </c>
      <c r="C276">
        <v>5</v>
      </c>
      <c r="D276">
        <v>247950000</v>
      </c>
      <c r="E276">
        <v>2663850000</v>
      </c>
      <c r="F276">
        <v>64300000</v>
      </c>
      <c r="G276">
        <v>2097</v>
      </c>
      <c r="H276">
        <v>8.7900000000000006E-2</v>
      </c>
      <c r="I276" t="b">
        <v>0</v>
      </c>
      <c r="J276">
        <v>1998</v>
      </c>
      <c r="K276" t="s">
        <v>38</v>
      </c>
      <c r="L276" t="s">
        <v>12</v>
      </c>
      <c r="M276">
        <v>10.74</v>
      </c>
      <c r="N276">
        <v>30663</v>
      </c>
      <c r="O276">
        <v>27</v>
      </c>
      <c r="P276" t="str">
        <f>IF('Funding Insights'!$D$5="Industry",Table_startup_data_13[[#This Row],[Industry]],Table_startup_data_13[[#This Row],[Region]])</f>
        <v>Cybersecurity</v>
      </c>
    </row>
    <row r="277" spans="1:16" x14ac:dyDescent="0.25">
      <c r="A277" t="s">
        <v>218</v>
      </c>
      <c r="B277" t="s">
        <v>72</v>
      </c>
      <c r="C277">
        <v>4</v>
      </c>
      <c r="D277">
        <v>189120000</v>
      </c>
      <c r="E277">
        <v>1477830000</v>
      </c>
      <c r="F277">
        <v>89710000</v>
      </c>
      <c r="G277">
        <v>2135</v>
      </c>
      <c r="H277">
        <v>2.5499999999999998E-2</v>
      </c>
      <c r="I277" t="b">
        <v>0</v>
      </c>
      <c r="J277">
        <v>1995</v>
      </c>
      <c r="K277" t="s">
        <v>15</v>
      </c>
      <c r="L277" t="s">
        <v>12</v>
      </c>
      <c r="M277">
        <v>7.81</v>
      </c>
      <c r="N277">
        <v>42019</v>
      </c>
      <c r="O277">
        <v>30</v>
      </c>
      <c r="P277" t="str">
        <f>IF('Funding Insights'!$D$5="Industry",Table_startup_data_13[[#This Row],[Industry]],Table_startup_data_13[[#This Row],[Region]])</f>
        <v>E-Commerce</v>
      </c>
    </row>
    <row r="278" spans="1:16" x14ac:dyDescent="0.25">
      <c r="A278" t="s">
        <v>219</v>
      </c>
      <c r="B278" t="s">
        <v>31</v>
      </c>
      <c r="C278">
        <v>2</v>
      </c>
      <c r="D278">
        <v>65290000</v>
      </c>
      <c r="E278">
        <v>483370000</v>
      </c>
      <c r="F278">
        <v>52070000</v>
      </c>
      <c r="G278">
        <v>362</v>
      </c>
      <c r="H278">
        <v>3.6200000000000003E-2</v>
      </c>
      <c r="I278" t="b">
        <v>0</v>
      </c>
      <c r="J278">
        <v>2004</v>
      </c>
      <c r="K278" t="s">
        <v>15</v>
      </c>
      <c r="L278" t="s">
        <v>12</v>
      </c>
      <c r="M278">
        <v>7.4</v>
      </c>
      <c r="N278">
        <v>143840</v>
      </c>
      <c r="O278">
        <v>21</v>
      </c>
      <c r="P278" t="str">
        <f>IF('Funding Insights'!$D$5="Industry",Table_startup_data_13[[#This Row],[Industry]],Table_startup_data_13[[#This Row],[Region]])</f>
        <v>FinTech</v>
      </c>
    </row>
    <row r="279" spans="1:16" x14ac:dyDescent="0.25">
      <c r="A279" t="s">
        <v>220</v>
      </c>
      <c r="B279" t="s">
        <v>72</v>
      </c>
      <c r="C279">
        <v>1</v>
      </c>
      <c r="D279">
        <v>155720000</v>
      </c>
      <c r="E279">
        <v>1109150000</v>
      </c>
      <c r="F279">
        <v>44820000</v>
      </c>
      <c r="G279">
        <v>2427</v>
      </c>
      <c r="H279">
        <v>9.2999999999999992E-3</v>
      </c>
      <c r="I279" t="b">
        <v>0</v>
      </c>
      <c r="J279">
        <v>2009</v>
      </c>
      <c r="K279" t="s">
        <v>38</v>
      </c>
      <c r="L279" t="s">
        <v>12</v>
      </c>
      <c r="M279">
        <v>7.12</v>
      </c>
      <c r="N279">
        <v>18467</v>
      </c>
      <c r="O279">
        <v>16</v>
      </c>
      <c r="P279" t="str">
        <f>IF('Funding Insights'!$D$5="Industry",Table_startup_data_13[[#This Row],[Industry]],Table_startup_data_13[[#This Row],[Region]])</f>
        <v>E-Commerce</v>
      </c>
    </row>
    <row r="280" spans="1:16" x14ac:dyDescent="0.25">
      <c r="A280" t="s">
        <v>223</v>
      </c>
      <c r="B280" t="s">
        <v>31</v>
      </c>
      <c r="C280">
        <v>2</v>
      </c>
      <c r="D280">
        <v>78440000</v>
      </c>
      <c r="E280">
        <v>1018340000</v>
      </c>
      <c r="F280">
        <v>61390000</v>
      </c>
      <c r="G280">
        <v>1502</v>
      </c>
      <c r="H280">
        <v>8.0999999999999996E-3</v>
      </c>
      <c r="I280" t="b">
        <v>0</v>
      </c>
      <c r="J280">
        <v>1993</v>
      </c>
      <c r="K280" t="s">
        <v>15</v>
      </c>
      <c r="L280" t="s">
        <v>12</v>
      </c>
      <c r="M280">
        <v>12.98</v>
      </c>
      <c r="N280">
        <v>40872</v>
      </c>
      <c r="O280">
        <v>32</v>
      </c>
      <c r="P280" t="str">
        <f>IF('Funding Insights'!$D$5="Industry",Table_startup_data_13[[#This Row],[Industry]],Table_startup_data_13[[#This Row],[Region]])</f>
        <v>FinTech</v>
      </c>
    </row>
    <row r="281" spans="1:16" x14ac:dyDescent="0.25">
      <c r="A281" t="s">
        <v>230</v>
      </c>
      <c r="B281" t="s">
        <v>14</v>
      </c>
      <c r="C281">
        <v>3</v>
      </c>
      <c r="D281">
        <v>224490000</v>
      </c>
      <c r="E281">
        <v>1295300000</v>
      </c>
      <c r="F281">
        <v>36430000</v>
      </c>
      <c r="G281">
        <v>4732</v>
      </c>
      <c r="H281">
        <v>7.8299999999999995E-2</v>
      </c>
      <c r="I281" t="b">
        <v>0</v>
      </c>
      <c r="J281">
        <v>1993</v>
      </c>
      <c r="K281" t="s">
        <v>38</v>
      </c>
      <c r="L281" t="s">
        <v>12</v>
      </c>
      <c r="M281">
        <v>5.77</v>
      </c>
      <c r="N281">
        <v>7699</v>
      </c>
      <c r="O281">
        <v>32</v>
      </c>
      <c r="P281" t="str">
        <f>IF('Funding Insights'!$D$5="Industry",Table_startup_data_13[[#This Row],[Industry]],Table_startup_data_13[[#This Row],[Region]])</f>
        <v>EdTech</v>
      </c>
    </row>
    <row r="282" spans="1:16" x14ac:dyDescent="0.25">
      <c r="A282" t="s">
        <v>231</v>
      </c>
      <c r="B282" t="s">
        <v>72</v>
      </c>
      <c r="C282">
        <v>5</v>
      </c>
      <c r="D282">
        <v>10940000</v>
      </c>
      <c r="E282">
        <v>92800000</v>
      </c>
      <c r="F282">
        <v>73290000</v>
      </c>
      <c r="G282">
        <v>3970</v>
      </c>
      <c r="H282">
        <v>7.8700000000000006E-2</v>
      </c>
      <c r="I282" t="b">
        <v>0</v>
      </c>
      <c r="J282">
        <v>2018</v>
      </c>
      <c r="K282" t="s">
        <v>38</v>
      </c>
      <c r="L282" t="s">
        <v>12</v>
      </c>
      <c r="M282">
        <v>8.48</v>
      </c>
      <c r="N282">
        <v>18461</v>
      </c>
      <c r="O282">
        <v>7</v>
      </c>
      <c r="P282" t="str">
        <f>IF('Funding Insights'!$D$5="Industry",Table_startup_data_13[[#This Row],[Industry]],Table_startup_data_13[[#This Row],[Region]])</f>
        <v>E-Commerce</v>
      </c>
    </row>
    <row r="283" spans="1:16" x14ac:dyDescent="0.25">
      <c r="A283" t="s">
        <v>234</v>
      </c>
      <c r="B283" t="s">
        <v>18</v>
      </c>
      <c r="C283">
        <v>1</v>
      </c>
      <c r="D283">
        <v>137500000</v>
      </c>
      <c r="E283">
        <v>1036990000</v>
      </c>
      <c r="F283">
        <v>79880000</v>
      </c>
      <c r="G283">
        <v>2785</v>
      </c>
      <c r="H283">
        <v>3.32E-2</v>
      </c>
      <c r="I283" t="b">
        <v>0</v>
      </c>
      <c r="J283">
        <v>2020</v>
      </c>
      <c r="K283" t="s">
        <v>38</v>
      </c>
      <c r="L283" t="s">
        <v>12</v>
      </c>
      <c r="M283">
        <v>7.54</v>
      </c>
      <c r="N283">
        <v>28682</v>
      </c>
      <c r="O283">
        <v>5</v>
      </c>
      <c r="P283" t="str">
        <f>IF('Funding Insights'!$D$5="Industry",Table_startup_data_13[[#This Row],[Industry]],Table_startup_data_13[[#This Row],[Region]])</f>
        <v>Gaming</v>
      </c>
    </row>
    <row r="284" spans="1:16" x14ac:dyDescent="0.25">
      <c r="A284" t="s">
        <v>239</v>
      </c>
      <c r="B284" t="s">
        <v>18</v>
      </c>
      <c r="C284">
        <v>1</v>
      </c>
      <c r="D284">
        <v>255730000</v>
      </c>
      <c r="E284">
        <v>2548530000</v>
      </c>
      <c r="F284">
        <v>32030000</v>
      </c>
      <c r="G284">
        <v>2833</v>
      </c>
      <c r="H284">
        <v>9.7699999999999995E-2</v>
      </c>
      <c r="I284" t="b">
        <v>1</v>
      </c>
      <c r="J284">
        <v>2020</v>
      </c>
      <c r="K284" t="s">
        <v>38</v>
      </c>
      <c r="L284" t="s">
        <v>12</v>
      </c>
      <c r="M284">
        <v>9.9700000000000006</v>
      </c>
      <c r="N284">
        <v>11306</v>
      </c>
      <c r="O284">
        <v>5</v>
      </c>
      <c r="P284" t="str">
        <f>IF('Funding Insights'!$D$5="Industry",Table_startup_data_13[[#This Row],[Industry]],Table_startup_data_13[[#This Row],[Region]])</f>
        <v>Gaming</v>
      </c>
    </row>
    <row r="285" spans="1:16" x14ac:dyDescent="0.25">
      <c r="A285" t="s">
        <v>241</v>
      </c>
      <c r="B285" t="s">
        <v>27</v>
      </c>
      <c r="C285">
        <v>3</v>
      </c>
      <c r="D285">
        <v>99050000</v>
      </c>
      <c r="E285">
        <v>1440190000</v>
      </c>
      <c r="F285">
        <v>48590000</v>
      </c>
      <c r="G285">
        <v>3863</v>
      </c>
      <c r="H285">
        <v>5.5199999999999999E-2</v>
      </c>
      <c r="I285" t="b">
        <v>1</v>
      </c>
      <c r="J285">
        <v>2020</v>
      </c>
      <c r="K285" t="s">
        <v>15</v>
      </c>
      <c r="L285" t="s">
        <v>12</v>
      </c>
      <c r="M285">
        <v>14.54</v>
      </c>
      <c r="N285">
        <v>12578</v>
      </c>
      <c r="O285">
        <v>5</v>
      </c>
      <c r="P285" t="str">
        <f>IF('Funding Insights'!$D$5="Industry",Table_startup_data_13[[#This Row],[Industry]],Table_startup_data_13[[#This Row],[Region]])</f>
        <v>HealthTech</v>
      </c>
    </row>
    <row r="286" spans="1:16" x14ac:dyDescent="0.25">
      <c r="A286" t="s">
        <v>243</v>
      </c>
      <c r="B286" t="s">
        <v>18</v>
      </c>
      <c r="C286">
        <v>4</v>
      </c>
      <c r="D286">
        <v>220700000</v>
      </c>
      <c r="E286">
        <v>2661210000</v>
      </c>
      <c r="F286">
        <v>72550000</v>
      </c>
      <c r="G286">
        <v>2389</v>
      </c>
      <c r="H286">
        <v>5.6000000000000001E-2</v>
      </c>
      <c r="I286" t="b">
        <v>0</v>
      </c>
      <c r="J286">
        <v>2020</v>
      </c>
      <c r="K286" t="s">
        <v>38</v>
      </c>
      <c r="L286" t="s">
        <v>12</v>
      </c>
      <c r="M286">
        <v>12.06</v>
      </c>
      <c r="N286">
        <v>30368</v>
      </c>
      <c r="O286">
        <v>5</v>
      </c>
      <c r="P286" t="str">
        <f>IF('Funding Insights'!$D$5="Industry",Table_startup_data_13[[#This Row],[Industry]],Table_startup_data_13[[#This Row],[Region]])</f>
        <v>Gaming</v>
      </c>
    </row>
    <row r="287" spans="1:16" x14ac:dyDescent="0.25">
      <c r="A287" t="s">
        <v>244</v>
      </c>
      <c r="B287" t="s">
        <v>72</v>
      </c>
      <c r="C287">
        <v>2</v>
      </c>
      <c r="D287">
        <v>84780000</v>
      </c>
      <c r="E287">
        <v>427780000</v>
      </c>
      <c r="F287">
        <v>32370000</v>
      </c>
      <c r="G287">
        <v>187</v>
      </c>
      <c r="H287">
        <v>1.9800000000000002E-2</v>
      </c>
      <c r="I287" t="b">
        <v>1</v>
      </c>
      <c r="J287">
        <v>2021</v>
      </c>
      <c r="K287" t="s">
        <v>38</v>
      </c>
      <c r="L287" t="s">
        <v>12</v>
      </c>
      <c r="M287">
        <v>5.05</v>
      </c>
      <c r="N287">
        <v>173102</v>
      </c>
      <c r="O287">
        <v>4</v>
      </c>
      <c r="P287" t="str">
        <f>IF('Funding Insights'!$D$5="Industry",Table_startup_data_13[[#This Row],[Industry]],Table_startup_data_13[[#This Row],[Region]])</f>
        <v>E-Commerce</v>
      </c>
    </row>
    <row r="288" spans="1:16" x14ac:dyDescent="0.25">
      <c r="A288" t="s">
        <v>247</v>
      </c>
      <c r="B288" t="s">
        <v>72</v>
      </c>
      <c r="C288">
        <v>3</v>
      </c>
      <c r="D288">
        <v>208870000</v>
      </c>
      <c r="E288">
        <v>2686420000</v>
      </c>
      <c r="F288">
        <v>65650000</v>
      </c>
      <c r="G288">
        <v>664</v>
      </c>
      <c r="H288">
        <v>5.2499999999999998E-2</v>
      </c>
      <c r="I288" t="b">
        <v>1</v>
      </c>
      <c r="J288">
        <v>1991</v>
      </c>
      <c r="K288" t="s">
        <v>15</v>
      </c>
      <c r="L288" t="s">
        <v>12</v>
      </c>
      <c r="M288">
        <v>12.86</v>
      </c>
      <c r="N288">
        <v>98870</v>
      </c>
      <c r="O288">
        <v>34</v>
      </c>
      <c r="P288" t="str">
        <f>IF('Funding Insights'!$D$5="Industry",Table_startup_data_13[[#This Row],[Industry]],Table_startup_data_13[[#This Row],[Region]])</f>
        <v>E-Commerce</v>
      </c>
    </row>
    <row r="289" spans="1:16" x14ac:dyDescent="0.25">
      <c r="A289" t="s">
        <v>248</v>
      </c>
      <c r="B289" t="s">
        <v>22</v>
      </c>
      <c r="C289">
        <v>4</v>
      </c>
      <c r="D289">
        <v>15110000</v>
      </c>
      <c r="E289">
        <v>45550000</v>
      </c>
      <c r="F289">
        <v>13070000</v>
      </c>
      <c r="G289">
        <v>164</v>
      </c>
      <c r="H289">
        <v>8.3000000000000001E-3</v>
      </c>
      <c r="I289" t="b">
        <v>1</v>
      </c>
      <c r="J289">
        <v>1991</v>
      </c>
      <c r="K289" t="s">
        <v>38</v>
      </c>
      <c r="L289" t="s">
        <v>12</v>
      </c>
      <c r="M289">
        <v>3.01</v>
      </c>
      <c r="N289">
        <v>79695</v>
      </c>
      <c r="O289">
        <v>34</v>
      </c>
      <c r="P289" t="str">
        <f>IF('Funding Insights'!$D$5="Industry",Table_startup_data_13[[#This Row],[Industry]],Table_startup_data_13[[#This Row],[Region]])</f>
        <v>AI</v>
      </c>
    </row>
    <row r="290" spans="1:16" x14ac:dyDescent="0.25">
      <c r="A290" t="s">
        <v>249</v>
      </c>
      <c r="B290" t="s">
        <v>22</v>
      </c>
      <c r="C290">
        <v>1</v>
      </c>
      <c r="D290">
        <v>160010000</v>
      </c>
      <c r="E290">
        <v>1057700000</v>
      </c>
      <c r="F290">
        <v>68720000</v>
      </c>
      <c r="G290">
        <v>3958</v>
      </c>
      <c r="H290">
        <v>6.0900000000000003E-2</v>
      </c>
      <c r="I290" t="b">
        <v>1</v>
      </c>
      <c r="J290">
        <v>2013</v>
      </c>
      <c r="K290" t="s">
        <v>38</v>
      </c>
      <c r="L290" t="s">
        <v>12</v>
      </c>
      <c r="M290">
        <v>6.61</v>
      </c>
      <c r="N290">
        <v>17362</v>
      </c>
      <c r="O290">
        <v>12</v>
      </c>
      <c r="P290" t="str">
        <f>IF('Funding Insights'!$D$5="Industry",Table_startup_data_13[[#This Row],[Industry]],Table_startup_data_13[[#This Row],[Region]])</f>
        <v>AI</v>
      </c>
    </row>
    <row r="291" spans="1:16" x14ac:dyDescent="0.25">
      <c r="A291" t="s">
        <v>262</v>
      </c>
      <c r="B291" t="s">
        <v>14</v>
      </c>
      <c r="C291">
        <v>4</v>
      </c>
      <c r="D291">
        <v>220310000</v>
      </c>
      <c r="E291">
        <v>2743920000</v>
      </c>
      <c r="F291">
        <v>90140000</v>
      </c>
      <c r="G291">
        <v>3172</v>
      </c>
      <c r="H291">
        <v>4.6300000000000001E-2</v>
      </c>
      <c r="I291" t="b">
        <v>0</v>
      </c>
      <c r="J291">
        <v>2001</v>
      </c>
      <c r="K291" t="s">
        <v>15</v>
      </c>
      <c r="L291" t="s">
        <v>12</v>
      </c>
      <c r="M291">
        <v>12.45</v>
      </c>
      <c r="N291">
        <v>28417</v>
      </c>
      <c r="O291">
        <v>24</v>
      </c>
      <c r="P291" t="str">
        <f>IF('Funding Insights'!$D$5="Industry",Table_startup_data_13[[#This Row],[Industry]],Table_startup_data_13[[#This Row],[Region]])</f>
        <v>EdTech</v>
      </c>
    </row>
    <row r="292" spans="1:16" x14ac:dyDescent="0.25">
      <c r="A292" t="s">
        <v>264</v>
      </c>
      <c r="B292" t="s">
        <v>72</v>
      </c>
      <c r="C292">
        <v>4</v>
      </c>
      <c r="D292">
        <v>260510000</v>
      </c>
      <c r="E292">
        <v>2683730000</v>
      </c>
      <c r="F292">
        <v>31470000</v>
      </c>
      <c r="G292">
        <v>2346</v>
      </c>
      <c r="H292">
        <v>5.5800000000000002E-2</v>
      </c>
      <c r="I292" t="b">
        <v>0</v>
      </c>
      <c r="J292">
        <v>2006</v>
      </c>
      <c r="K292" t="s">
        <v>15</v>
      </c>
      <c r="L292" t="s">
        <v>12</v>
      </c>
      <c r="M292">
        <v>10.3</v>
      </c>
      <c r="N292">
        <v>13414</v>
      </c>
      <c r="O292">
        <v>19</v>
      </c>
      <c r="P292" t="str">
        <f>IF('Funding Insights'!$D$5="Industry",Table_startup_data_13[[#This Row],[Industry]],Table_startup_data_13[[#This Row],[Region]])</f>
        <v>E-Commerce</v>
      </c>
    </row>
    <row r="293" spans="1:16" x14ac:dyDescent="0.25">
      <c r="A293" t="s">
        <v>271</v>
      </c>
      <c r="B293" t="s">
        <v>27</v>
      </c>
      <c r="C293">
        <v>4</v>
      </c>
      <c r="D293">
        <v>32200000</v>
      </c>
      <c r="E293">
        <v>243780000</v>
      </c>
      <c r="F293">
        <v>8810000</v>
      </c>
      <c r="G293">
        <v>2629</v>
      </c>
      <c r="H293">
        <v>5.8799999999999998E-2</v>
      </c>
      <c r="I293" t="b">
        <v>0</v>
      </c>
      <c r="J293">
        <v>1996</v>
      </c>
      <c r="K293" t="s">
        <v>38</v>
      </c>
      <c r="L293" t="s">
        <v>12</v>
      </c>
      <c r="M293">
        <v>7.57</v>
      </c>
      <c r="N293">
        <v>3351</v>
      </c>
      <c r="O293">
        <v>29</v>
      </c>
      <c r="P293" t="str">
        <f>IF('Funding Insights'!$D$5="Industry",Table_startup_data_13[[#This Row],[Industry]],Table_startup_data_13[[#This Row],[Region]])</f>
        <v>HealthTech</v>
      </c>
    </row>
    <row r="294" spans="1:16" x14ac:dyDescent="0.25">
      <c r="A294" t="s">
        <v>275</v>
      </c>
      <c r="B294" t="s">
        <v>18</v>
      </c>
      <c r="C294">
        <v>1</v>
      </c>
      <c r="D294">
        <v>288410000</v>
      </c>
      <c r="E294">
        <v>3721480000</v>
      </c>
      <c r="F294">
        <v>73990000</v>
      </c>
      <c r="G294">
        <v>2193</v>
      </c>
      <c r="H294">
        <v>1.8200000000000001E-2</v>
      </c>
      <c r="I294" t="b">
        <v>0</v>
      </c>
      <c r="J294">
        <v>2008</v>
      </c>
      <c r="K294" t="s">
        <v>38</v>
      </c>
      <c r="L294" t="s">
        <v>12</v>
      </c>
      <c r="M294">
        <v>12.9</v>
      </c>
      <c r="N294">
        <v>33739</v>
      </c>
      <c r="O294">
        <v>17</v>
      </c>
      <c r="P294" t="str">
        <f>IF('Funding Insights'!$D$5="Industry",Table_startup_data_13[[#This Row],[Industry]],Table_startup_data_13[[#This Row],[Region]])</f>
        <v>Gaming</v>
      </c>
    </row>
    <row r="295" spans="1:16" x14ac:dyDescent="0.25">
      <c r="A295" t="s">
        <v>277</v>
      </c>
      <c r="B295" t="s">
        <v>31</v>
      </c>
      <c r="C295">
        <v>2</v>
      </c>
      <c r="D295">
        <v>263780000</v>
      </c>
      <c r="E295">
        <v>3774330000</v>
      </c>
      <c r="F295">
        <v>61420000</v>
      </c>
      <c r="G295">
        <v>2229</v>
      </c>
      <c r="H295">
        <v>4.5499999999999999E-2</v>
      </c>
      <c r="I295" t="b">
        <v>0</v>
      </c>
      <c r="J295">
        <v>2000</v>
      </c>
      <c r="K295" t="s">
        <v>38</v>
      </c>
      <c r="L295" t="s">
        <v>12</v>
      </c>
      <c r="M295">
        <v>14.31</v>
      </c>
      <c r="N295">
        <v>27555</v>
      </c>
      <c r="O295">
        <v>25</v>
      </c>
      <c r="P295" t="str">
        <f>IF('Funding Insights'!$D$5="Industry",Table_startup_data_13[[#This Row],[Industry]],Table_startup_data_13[[#This Row],[Region]])</f>
        <v>FinTech</v>
      </c>
    </row>
    <row r="296" spans="1:16" x14ac:dyDescent="0.25">
      <c r="A296" t="s">
        <v>279</v>
      </c>
      <c r="B296" t="s">
        <v>31</v>
      </c>
      <c r="C296">
        <v>2</v>
      </c>
      <c r="D296">
        <v>246070000</v>
      </c>
      <c r="E296">
        <v>1215870000</v>
      </c>
      <c r="F296">
        <v>57770000</v>
      </c>
      <c r="G296">
        <v>2676</v>
      </c>
      <c r="H296">
        <v>2.2100000000000002E-2</v>
      </c>
      <c r="I296" t="b">
        <v>0</v>
      </c>
      <c r="J296">
        <v>1992</v>
      </c>
      <c r="K296" t="s">
        <v>38</v>
      </c>
      <c r="L296" t="s">
        <v>12</v>
      </c>
      <c r="M296">
        <v>4.9400000000000004</v>
      </c>
      <c r="N296">
        <v>21588</v>
      </c>
      <c r="O296">
        <v>33</v>
      </c>
      <c r="P296" t="str">
        <f>IF('Funding Insights'!$D$5="Industry",Table_startup_data_13[[#This Row],[Industry]],Table_startup_data_13[[#This Row],[Region]])</f>
        <v>FinTech</v>
      </c>
    </row>
    <row r="297" spans="1:16" x14ac:dyDescent="0.25">
      <c r="A297" t="s">
        <v>281</v>
      </c>
      <c r="B297" t="s">
        <v>31</v>
      </c>
      <c r="C297">
        <v>2</v>
      </c>
      <c r="D297">
        <v>272660000</v>
      </c>
      <c r="E297">
        <v>2697980000</v>
      </c>
      <c r="F297">
        <v>80640000</v>
      </c>
      <c r="G297">
        <v>2453</v>
      </c>
      <c r="H297">
        <v>1.6999999999999999E-3</v>
      </c>
      <c r="I297" t="b">
        <v>1</v>
      </c>
      <c r="J297">
        <v>1992</v>
      </c>
      <c r="K297" t="s">
        <v>38</v>
      </c>
      <c r="L297" t="s">
        <v>12</v>
      </c>
      <c r="M297">
        <v>9.9</v>
      </c>
      <c r="N297">
        <v>32874</v>
      </c>
      <c r="O297">
        <v>33</v>
      </c>
      <c r="P297" t="str">
        <f>IF('Funding Insights'!$D$5="Industry",Table_startup_data_13[[#This Row],[Industry]],Table_startup_data_13[[#This Row],[Region]])</f>
        <v>FinTech</v>
      </c>
    </row>
    <row r="298" spans="1:16" x14ac:dyDescent="0.25">
      <c r="A298" t="s">
        <v>294</v>
      </c>
      <c r="B298" t="s">
        <v>22</v>
      </c>
      <c r="C298">
        <v>4</v>
      </c>
      <c r="D298">
        <v>38970000</v>
      </c>
      <c r="E298">
        <v>267740000</v>
      </c>
      <c r="F298">
        <v>7800000</v>
      </c>
      <c r="G298">
        <v>3528</v>
      </c>
      <c r="H298">
        <v>7.4200000000000002E-2</v>
      </c>
      <c r="I298" t="b">
        <v>1</v>
      </c>
      <c r="J298">
        <v>2005</v>
      </c>
      <c r="K298" t="s">
        <v>38</v>
      </c>
      <c r="L298" t="s">
        <v>12</v>
      </c>
      <c r="M298">
        <v>6.87</v>
      </c>
      <c r="N298">
        <v>2211</v>
      </c>
      <c r="O298">
        <v>20</v>
      </c>
      <c r="P298" t="str">
        <f>IF('Funding Insights'!$D$5="Industry",Table_startup_data_13[[#This Row],[Industry]],Table_startup_data_13[[#This Row],[Region]])</f>
        <v>AI</v>
      </c>
    </row>
    <row r="299" spans="1:16" x14ac:dyDescent="0.25">
      <c r="A299" t="s">
        <v>299</v>
      </c>
      <c r="B299" t="s">
        <v>31</v>
      </c>
      <c r="C299">
        <v>1</v>
      </c>
      <c r="D299">
        <v>117950000</v>
      </c>
      <c r="E299">
        <v>1164930000</v>
      </c>
      <c r="F299">
        <v>6940000</v>
      </c>
      <c r="G299">
        <v>1321</v>
      </c>
      <c r="H299">
        <v>3.3399999999999999E-2</v>
      </c>
      <c r="I299" t="b">
        <v>0</v>
      </c>
      <c r="J299">
        <v>2021</v>
      </c>
      <c r="K299" t="s">
        <v>38</v>
      </c>
      <c r="L299" t="s">
        <v>12</v>
      </c>
      <c r="M299">
        <v>9.8800000000000008</v>
      </c>
      <c r="N299">
        <v>5254</v>
      </c>
      <c r="O299">
        <v>4</v>
      </c>
      <c r="P299" t="str">
        <f>IF('Funding Insights'!$D$5="Industry",Table_startup_data_13[[#This Row],[Industry]],Table_startup_data_13[[#This Row],[Region]])</f>
        <v>FinTech</v>
      </c>
    </row>
    <row r="300" spans="1:16" x14ac:dyDescent="0.25">
      <c r="A300" t="s">
        <v>300</v>
      </c>
      <c r="B300" t="s">
        <v>14</v>
      </c>
      <c r="C300">
        <v>2</v>
      </c>
      <c r="D300">
        <v>54260000</v>
      </c>
      <c r="E300">
        <v>770100000</v>
      </c>
      <c r="F300">
        <v>76340000</v>
      </c>
      <c r="G300">
        <v>2862</v>
      </c>
      <c r="H300">
        <v>8.9099999999999999E-2</v>
      </c>
      <c r="I300" t="b">
        <v>0</v>
      </c>
      <c r="J300">
        <v>2015</v>
      </c>
      <c r="K300" t="s">
        <v>38</v>
      </c>
      <c r="L300" t="s">
        <v>12</v>
      </c>
      <c r="M300">
        <v>14.19</v>
      </c>
      <c r="N300">
        <v>26674</v>
      </c>
      <c r="O300">
        <v>10</v>
      </c>
      <c r="P300" t="str">
        <f>IF('Funding Insights'!$D$5="Industry",Table_startup_data_13[[#This Row],[Industry]],Table_startup_data_13[[#This Row],[Region]])</f>
        <v>EdTech</v>
      </c>
    </row>
    <row r="301" spans="1:16" x14ac:dyDescent="0.25">
      <c r="A301" t="s">
        <v>306</v>
      </c>
      <c r="B301" t="s">
        <v>27</v>
      </c>
      <c r="C301">
        <v>5</v>
      </c>
      <c r="D301">
        <v>50330000</v>
      </c>
      <c r="E301">
        <v>693500000</v>
      </c>
      <c r="F301">
        <v>6000000</v>
      </c>
      <c r="G301">
        <v>1524</v>
      </c>
      <c r="H301">
        <v>4.4400000000000002E-2</v>
      </c>
      <c r="I301" t="b">
        <v>1</v>
      </c>
      <c r="J301">
        <v>2015</v>
      </c>
      <c r="K301" t="s">
        <v>38</v>
      </c>
      <c r="L301" t="s">
        <v>12</v>
      </c>
      <c r="M301">
        <v>13.78</v>
      </c>
      <c r="N301">
        <v>3937</v>
      </c>
      <c r="O301">
        <v>10</v>
      </c>
      <c r="P301" t="str">
        <f>IF('Funding Insights'!$D$5="Industry",Table_startup_data_13[[#This Row],[Industry]],Table_startup_data_13[[#This Row],[Region]])</f>
        <v>HealthTech</v>
      </c>
    </row>
    <row r="302" spans="1:16" x14ac:dyDescent="0.25">
      <c r="A302" t="s">
        <v>309</v>
      </c>
      <c r="B302" t="s">
        <v>31</v>
      </c>
      <c r="C302">
        <v>5</v>
      </c>
      <c r="D302">
        <v>142340000</v>
      </c>
      <c r="E302">
        <v>2054470000</v>
      </c>
      <c r="F302">
        <v>87440000</v>
      </c>
      <c r="G302">
        <v>896</v>
      </c>
      <c r="H302">
        <v>5.5100000000000003E-2</v>
      </c>
      <c r="I302" t="b">
        <v>0</v>
      </c>
      <c r="J302">
        <v>2021</v>
      </c>
      <c r="K302" t="s">
        <v>15</v>
      </c>
      <c r="L302" t="s">
        <v>12</v>
      </c>
      <c r="M302">
        <v>14.43</v>
      </c>
      <c r="N302">
        <v>97589</v>
      </c>
      <c r="O302">
        <v>4</v>
      </c>
      <c r="P302" t="str">
        <f>IF('Funding Insights'!$D$5="Industry",Table_startup_data_13[[#This Row],[Industry]],Table_startup_data_13[[#This Row],[Region]])</f>
        <v>FinTech</v>
      </c>
    </row>
    <row r="303" spans="1:16" x14ac:dyDescent="0.25">
      <c r="A303" t="s">
        <v>325</v>
      </c>
      <c r="B303" t="s">
        <v>22</v>
      </c>
      <c r="C303">
        <v>5</v>
      </c>
      <c r="D303">
        <v>48100000</v>
      </c>
      <c r="E303">
        <v>154510000</v>
      </c>
      <c r="F303">
        <v>70800000</v>
      </c>
      <c r="G303">
        <v>1777</v>
      </c>
      <c r="H303">
        <v>6.0100000000000001E-2</v>
      </c>
      <c r="I303" t="b">
        <v>1</v>
      </c>
      <c r="J303">
        <v>2010</v>
      </c>
      <c r="K303" t="s">
        <v>15</v>
      </c>
      <c r="L303" t="s">
        <v>12</v>
      </c>
      <c r="M303">
        <v>3.21</v>
      </c>
      <c r="N303">
        <v>39842</v>
      </c>
      <c r="O303">
        <v>15</v>
      </c>
      <c r="P303" t="str">
        <f>IF('Funding Insights'!$D$5="Industry",Table_startup_data_13[[#This Row],[Industry]],Table_startup_data_13[[#This Row],[Region]])</f>
        <v>AI</v>
      </c>
    </row>
    <row r="304" spans="1:16" x14ac:dyDescent="0.25">
      <c r="A304" t="s">
        <v>328</v>
      </c>
      <c r="B304" t="s">
        <v>22</v>
      </c>
      <c r="C304">
        <v>1</v>
      </c>
      <c r="D304">
        <v>31110000</v>
      </c>
      <c r="E304">
        <v>237600000</v>
      </c>
      <c r="F304">
        <v>69960000</v>
      </c>
      <c r="G304">
        <v>1756</v>
      </c>
      <c r="H304">
        <v>3.4000000000000002E-2</v>
      </c>
      <c r="I304" t="b">
        <v>0</v>
      </c>
      <c r="J304">
        <v>2007</v>
      </c>
      <c r="K304" t="s">
        <v>15</v>
      </c>
      <c r="L304" t="s">
        <v>12</v>
      </c>
      <c r="M304">
        <v>7.64</v>
      </c>
      <c r="N304">
        <v>39841</v>
      </c>
      <c r="O304">
        <v>18</v>
      </c>
      <c r="P304" t="str">
        <f>IF('Funding Insights'!$D$5="Industry",Table_startup_data_13[[#This Row],[Industry]],Table_startup_data_13[[#This Row],[Region]])</f>
        <v>AI</v>
      </c>
    </row>
    <row r="305" spans="1:16" x14ac:dyDescent="0.25">
      <c r="A305" t="s">
        <v>333</v>
      </c>
      <c r="B305" t="s">
        <v>36</v>
      </c>
      <c r="C305">
        <v>3</v>
      </c>
      <c r="D305">
        <v>252060000</v>
      </c>
      <c r="E305">
        <v>3037590000</v>
      </c>
      <c r="F305">
        <v>62860000</v>
      </c>
      <c r="G305">
        <v>4922</v>
      </c>
      <c r="H305">
        <v>7.8899999999999998E-2</v>
      </c>
      <c r="I305" t="b">
        <v>0</v>
      </c>
      <c r="J305">
        <v>1995</v>
      </c>
      <c r="K305" t="s">
        <v>15</v>
      </c>
      <c r="L305" t="s">
        <v>12</v>
      </c>
      <c r="M305">
        <v>12.05</v>
      </c>
      <c r="N305">
        <v>12771</v>
      </c>
      <c r="O305">
        <v>30</v>
      </c>
      <c r="P305" t="str">
        <f>IF('Funding Insights'!$D$5="Industry",Table_startup_data_13[[#This Row],[Industry]],Table_startup_data_13[[#This Row],[Region]])</f>
        <v>Cybersecurity</v>
      </c>
    </row>
    <row r="306" spans="1:16" x14ac:dyDescent="0.25">
      <c r="A306" t="s">
        <v>340</v>
      </c>
      <c r="B306" t="s">
        <v>14</v>
      </c>
      <c r="C306">
        <v>1</v>
      </c>
      <c r="D306">
        <v>219520000</v>
      </c>
      <c r="E306">
        <v>1357650000</v>
      </c>
      <c r="F306">
        <v>26410000</v>
      </c>
      <c r="G306">
        <v>2101</v>
      </c>
      <c r="H306">
        <v>4.3299999999999998E-2</v>
      </c>
      <c r="I306" t="b">
        <v>1</v>
      </c>
      <c r="J306">
        <v>2009</v>
      </c>
      <c r="K306" t="s">
        <v>15</v>
      </c>
      <c r="L306" t="s">
        <v>12</v>
      </c>
      <c r="M306">
        <v>6.18</v>
      </c>
      <c r="N306">
        <v>12570</v>
      </c>
      <c r="O306">
        <v>16</v>
      </c>
      <c r="P306" t="str">
        <f>IF('Funding Insights'!$D$5="Industry",Table_startup_data_13[[#This Row],[Industry]],Table_startup_data_13[[#This Row],[Region]])</f>
        <v>EdTech</v>
      </c>
    </row>
    <row r="307" spans="1:16" x14ac:dyDescent="0.25">
      <c r="A307" t="s">
        <v>345</v>
      </c>
      <c r="B307" t="s">
        <v>10</v>
      </c>
      <c r="C307">
        <v>1</v>
      </c>
      <c r="D307">
        <v>132970000</v>
      </c>
      <c r="E307">
        <v>764140000</v>
      </c>
      <c r="F307">
        <v>7520000</v>
      </c>
      <c r="G307">
        <v>3662</v>
      </c>
      <c r="H307">
        <v>9.1600000000000001E-2</v>
      </c>
      <c r="I307" t="b">
        <v>1</v>
      </c>
      <c r="J307">
        <v>2005</v>
      </c>
      <c r="K307" t="s">
        <v>15</v>
      </c>
      <c r="L307" t="s">
        <v>12</v>
      </c>
      <c r="M307">
        <v>5.75</v>
      </c>
      <c r="N307">
        <v>2054</v>
      </c>
      <c r="O307">
        <v>20</v>
      </c>
      <c r="P307" t="str">
        <f>IF('Funding Insights'!$D$5="Industry",Table_startup_data_13[[#This Row],[Industry]],Table_startup_data_13[[#This Row],[Region]])</f>
        <v>IoT</v>
      </c>
    </row>
    <row r="308" spans="1:16" x14ac:dyDescent="0.25">
      <c r="A308" t="s">
        <v>351</v>
      </c>
      <c r="B308" t="s">
        <v>27</v>
      </c>
      <c r="C308">
        <v>4</v>
      </c>
      <c r="D308">
        <v>260500000</v>
      </c>
      <c r="E308">
        <v>3045720000</v>
      </c>
      <c r="F308">
        <v>87740000</v>
      </c>
      <c r="G308">
        <v>3846</v>
      </c>
      <c r="H308">
        <v>6.4199999999999993E-2</v>
      </c>
      <c r="I308" t="b">
        <v>1</v>
      </c>
      <c r="J308">
        <v>2003</v>
      </c>
      <c r="K308" t="s">
        <v>38</v>
      </c>
      <c r="L308" t="s">
        <v>12</v>
      </c>
      <c r="M308">
        <v>11.69</v>
      </c>
      <c r="N308">
        <v>22813</v>
      </c>
      <c r="O308">
        <v>22</v>
      </c>
      <c r="P308" t="str">
        <f>IF('Funding Insights'!$D$5="Industry",Table_startup_data_13[[#This Row],[Industry]],Table_startup_data_13[[#This Row],[Region]])</f>
        <v>HealthTech</v>
      </c>
    </row>
    <row r="309" spans="1:16" x14ac:dyDescent="0.25">
      <c r="A309" t="s">
        <v>354</v>
      </c>
      <c r="B309" t="s">
        <v>18</v>
      </c>
      <c r="C309">
        <v>5</v>
      </c>
      <c r="D309">
        <v>141720000</v>
      </c>
      <c r="E309">
        <v>1537510000</v>
      </c>
      <c r="F309">
        <v>98900000</v>
      </c>
      <c r="G309">
        <v>679</v>
      </c>
      <c r="H309">
        <v>5.3999999999999999E-2</v>
      </c>
      <c r="I309" t="b">
        <v>1</v>
      </c>
      <c r="J309">
        <v>2005</v>
      </c>
      <c r="K309" t="s">
        <v>38</v>
      </c>
      <c r="L309" t="s">
        <v>12</v>
      </c>
      <c r="M309">
        <v>10.85</v>
      </c>
      <c r="N309">
        <v>145655</v>
      </c>
      <c r="O309">
        <v>20</v>
      </c>
      <c r="P309" t="str">
        <f>IF('Funding Insights'!$D$5="Industry",Table_startup_data_13[[#This Row],[Industry]],Table_startup_data_13[[#This Row],[Region]])</f>
        <v>Gaming</v>
      </c>
    </row>
    <row r="310" spans="1:16" x14ac:dyDescent="0.25">
      <c r="A310" t="s">
        <v>355</v>
      </c>
      <c r="B310" t="s">
        <v>14</v>
      </c>
      <c r="C310">
        <v>3</v>
      </c>
      <c r="D310">
        <v>163200000</v>
      </c>
      <c r="E310">
        <v>1183340000</v>
      </c>
      <c r="F310">
        <v>62650000</v>
      </c>
      <c r="G310">
        <v>391</v>
      </c>
      <c r="H310">
        <v>1.5299999999999999E-2</v>
      </c>
      <c r="I310" t="b">
        <v>0</v>
      </c>
      <c r="J310">
        <v>2006</v>
      </c>
      <c r="K310" t="s">
        <v>38</v>
      </c>
      <c r="L310" t="s">
        <v>12</v>
      </c>
      <c r="M310">
        <v>7.25</v>
      </c>
      <c r="N310">
        <v>160230</v>
      </c>
      <c r="O310">
        <v>19</v>
      </c>
      <c r="P310" t="str">
        <f>IF('Funding Insights'!$D$5="Industry",Table_startup_data_13[[#This Row],[Industry]],Table_startup_data_13[[#This Row],[Region]])</f>
        <v>EdTech</v>
      </c>
    </row>
    <row r="311" spans="1:16" x14ac:dyDescent="0.25">
      <c r="A311" t="s">
        <v>362</v>
      </c>
      <c r="B311" t="s">
        <v>14</v>
      </c>
      <c r="C311">
        <v>5</v>
      </c>
      <c r="D311">
        <v>5850000</v>
      </c>
      <c r="E311">
        <v>26940000</v>
      </c>
      <c r="F311">
        <v>57380000</v>
      </c>
      <c r="G311">
        <v>4641</v>
      </c>
      <c r="H311">
        <v>5.9400000000000001E-2</v>
      </c>
      <c r="I311" t="b">
        <v>1</v>
      </c>
      <c r="J311">
        <v>1994</v>
      </c>
      <c r="K311" t="s">
        <v>15</v>
      </c>
      <c r="L311" t="s">
        <v>12</v>
      </c>
      <c r="M311">
        <v>4.6100000000000003</v>
      </c>
      <c r="N311">
        <v>12364</v>
      </c>
      <c r="O311">
        <v>31</v>
      </c>
      <c r="P311" t="str">
        <f>IF('Funding Insights'!$D$5="Industry",Table_startup_data_13[[#This Row],[Industry]],Table_startup_data_13[[#This Row],[Region]])</f>
        <v>EdTech</v>
      </c>
    </row>
    <row r="312" spans="1:16" x14ac:dyDescent="0.25">
      <c r="A312" t="s">
        <v>367</v>
      </c>
      <c r="B312" t="s">
        <v>22</v>
      </c>
      <c r="C312">
        <v>5</v>
      </c>
      <c r="D312">
        <v>56040000</v>
      </c>
      <c r="E312">
        <v>295690000</v>
      </c>
      <c r="F312">
        <v>73780000</v>
      </c>
      <c r="G312">
        <v>2282</v>
      </c>
      <c r="H312">
        <v>2.8799999999999999E-2</v>
      </c>
      <c r="I312" t="b">
        <v>1</v>
      </c>
      <c r="J312">
        <v>2022</v>
      </c>
      <c r="K312" t="s">
        <v>15</v>
      </c>
      <c r="L312" t="s">
        <v>12</v>
      </c>
      <c r="M312">
        <v>5.28</v>
      </c>
      <c r="N312">
        <v>32331</v>
      </c>
      <c r="O312">
        <v>3</v>
      </c>
      <c r="P312" t="str">
        <f>IF('Funding Insights'!$D$5="Industry",Table_startup_data_13[[#This Row],[Industry]],Table_startup_data_13[[#This Row],[Region]])</f>
        <v>AI</v>
      </c>
    </row>
    <row r="313" spans="1:16" x14ac:dyDescent="0.25">
      <c r="A313" t="s">
        <v>369</v>
      </c>
      <c r="B313" t="s">
        <v>14</v>
      </c>
      <c r="C313">
        <v>3</v>
      </c>
      <c r="D313">
        <v>870000</v>
      </c>
      <c r="E313">
        <v>5990000</v>
      </c>
      <c r="F313">
        <v>3360000</v>
      </c>
      <c r="G313">
        <v>3928</v>
      </c>
      <c r="H313">
        <v>2.0999999999999999E-3</v>
      </c>
      <c r="I313" t="b">
        <v>0</v>
      </c>
      <c r="J313">
        <v>2006</v>
      </c>
      <c r="K313" t="s">
        <v>15</v>
      </c>
      <c r="L313" t="s">
        <v>12</v>
      </c>
      <c r="M313">
        <v>6.89</v>
      </c>
      <c r="N313">
        <v>855</v>
      </c>
      <c r="O313">
        <v>19</v>
      </c>
      <c r="P313" t="str">
        <f>IF('Funding Insights'!$D$5="Industry",Table_startup_data_13[[#This Row],[Industry]],Table_startup_data_13[[#This Row],[Region]])</f>
        <v>EdTech</v>
      </c>
    </row>
    <row r="314" spans="1:16" x14ac:dyDescent="0.25">
      <c r="A314" t="s">
        <v>378</v>
      </c>
      <c r="B314" t="s">
        <v>27</v>
      </c>
      <c r="C314">
        <v>4</v>
      </c>
      <c r="D314">
        <v>177280000</v>
      </c>
      <c r="E314">
        <v>1594100000</v>
      </c>
      <c r="F314">
        <v>13840000</v>
      </c>
      <c r="G314">
        <v>3871</v>
      </c>
      <c r="H314">
        <v>8.2799999999999999E-2</v>
      </c>
      <c r="I314" t="b">
        <v>0</v>
      </c>
      <c r="J314">
        <v>2018</v>
      </c>
      <c r="K314" t="s">
        <v>15</v>
      </c>
      <c r="L314" t="s">
        <v>12</v>
      </c>
      <c r="M314">
        <v>8.99</v>
      </c>
      <c r="N314">
        <v>3575</v>
      </c>
      <c r="O314">
        <v>7</v>
      </c>
      <c r="P314" t="str">
        <f>IF('Funding Insights'!$D$5="Industry",Table_startup_data_13[[#This Row],[Industry]],Table_startup_data_13[[#This Row],[Region]])</f>
        <v>HealthTech</v>
      </c>
    </row>
    <row r="315" spans="1:16" x14ac:dyDescent="0.25">
      <c r="A315" t="s">
        <v>387</v>
      </c>
      <c r="B315" t="s">
        <v>31</v>
      </c>
      <c r="C315">
        <v>1</v>
      </c>
      <c r="D315">
        <v>197270000</v>
      </c>
      <c r="E315">
        <v>2626610000</v>
      </c>
      <c r="F315">
        <v>13260000</v>
      </c>
      <c r="G315">
        <v>37</v>
      </c>
      <c r="H315">
        <v>8.6E-3</v>
      </c>
      <c r="I315" t="b">
        <v>0</v>
      </c>
      <c r="J315">
        <v>1997</v>
      </c>
      <c r="K315" t="s">
        <v>38</v>
      </c>
      <c r="L315" t="s">
        <v>12</v>
      </c>
      <c r="M315">
        <v>13.31</v>
      </c>
      <c r="N315">
        <v>358378</v>
      </c>
      <c r="O315">
        <v>28</v>
      </c>
      <c r="P315" t="str">
        <f>IF('Funding Insights'!$D$5="Industry",Table_startup_data_13[[#This Row],[Industry]],Table_startup_data_13[[#This Row],[Region]])</f>
        <v>FinTech</v>
      </c>
    </row>
    <row r="316" spans="1:16" x14ac:dyDescent="0.25">
      <c r="A316" t="s">
        <v>394</v>
      </c>
      <c r="B316" t="s">
        <v>36</v>
      </c>
      <c r="C316">
        <v>4</v>
      </c>
      <c r="D316">
        <v>31290000</v>
      </c>
      <c r="E316">
        <v>397590000</v>
      </c>
      <c r="F316">
        <v>98390000</v>
      </c>
      <c r="G316">
        <v>4584</v>
      </c>
      <c r="H316">
        <v>3.7999999999999999E-2</v>
      </c>
      <c r="I316" t="b">
        <v>0</v>
      </c>
      <c r="J316">
        <v>2000</v>
      </c>
      <c r="K316" t="s">
        <v>38</v>
      </c>
      <c r="L316" t="s">
        <v>12</v>
      </c>
      <c r="M316">
        <v>12.71</v>
      </c>
      <c r="N316">
        <v>21464</v>
      </c>
      <c r="O316">
        <v>25</v>
      </c>
      <c r="P316" t="str">
        <f>IF('Funding Insights'!$D$5="Industry",Table_startup_data_13[[#This Row],[Industry]],Table_startup_data_13[[#This Row],[Region]])</f>
        <v>Cybersecurity</v>
      </c>
    </row>
    <row r="317" spans="1:16" x14ac:dyDescent="0.25">
      <c r="A317" t="s">
        <v>396</v>
      </c>
      <c r="B317" t="s">
        <v>18</v>
      </c>
      <c r="C317">
        <v>5</v>
      </c>
      <c r="D317">
        <v>6000000</v>
      </c>
      <c r="E317">
        <v>38110000</v>
      </c>
      <c r="F317">
        <v>40760000</v>
      </c>
      <c r="G317">
        <v>3723</v>
      </c>
      <c r="H317">
        <v>2.3900000000000001E-2</v>
      </c>
      <c r="I317" t="b">
        <v>0</v>
      </c>
      <c r="J317">
        <v>2015</v>
      </c>
      <c r="K317" t="s">
        <v>15</v>
      </c>
      <c r="L317" t="s">
        <v>12</v>
      </c>
      <c r="M317">
        <v>6.35</v>
      </c>
      <c r="N317">
        <v>10948</v>
      </c>
      <c r="O317">
        <v>10</v>
      </c>
      <c r="P317" t="str">
        <f>IF('Funding Insights'!$D$5="Industry",Table_startup_data_13[[#This Row],[Industry]],Table_startup_data_13[[#This Row],[Region]])</f>
        <v>Gaming</v>
      </c>
    </row>
    <row r="318" spans="1:16" x14ac:dyDescent="0.25">
      <c r="A318" t="s">
        <v>404</v>
      </c>
      <c r="B318" t="s">
        <v>14</v>
      </c>
      <c r="C318">
        <v>1</v>
      </c>
      <c r="D318">
        <v>264820000</v>
      </c>
      <c r="E318">
        <v>1515720000</v>
      </c>
      <c r="F318">
        <v>45100000</v>
      </c>
      <c r="G318">
        <v>3121</v>
      </c>
      <c r="H318">
        <v>8.8599999999999998E-2</v>
      </c>
      <c r="I318" t="b">
        <v>0</v>
      </c>
      <c r="J318">
        <v>2018</v>
      </c>
      <c r="K318" t="s">
        <v>38</v>
      </c>
      <c r="L318" t="s">
        <v>12</v>
      </c>
      <c r="M318">
        <v>5.72</v>
      </c>
      <c r="N318">
        <v>14450</v>
      </c>
      <c r="O318">
        <v>7</v>
      </c>
      <c r="P318" t="str">
        <f>IF('Funding Insights'!$D$5="Industry",Table_startup_data_13[[#This Row],[Industry]],Table_startup_data_13[[#This Row],[Region]])</f>
        <v>EdTech</v>
      </c>
    </row>
    <row r="319" spans="1:16" x14ac:dyDescent="0.25">
      <c r="A319" t="s">
        <v>406</v>
      </c>
      <c r="B319" t="s">
        <v>36</v>
      </c>
      <c r="C319">
        <v>1</v>
      </c>
      <c r="D319">
        <v>247440000</v>
      </c>
      <c r="E319">
        <v>2080340000</v>
      </c>
      <c r="F319">
        <v>62290000</v>
      </c>
      <c r="G319">
        <v>648</v>
      </c>
      <c r="H319">
        <v>4.6699999999999998E-2</v>
      </c>
      <c r="I319" t="b">
        <v>0</v>
      </c>
      <c r="J319">
        <v>1995</v>
      </c>
      <c r="K319" t="s">
        <v>38</v>
      </c>
      <c r="L319" t="s">
        <v>12</v>
      </c>
      <c r="M319">
        <v>8.41</v>
      </c>
      <c r="N319">
        <v>96127</v>
      </c>
      <c r="O319">
        <v>30</v>
      </c>
      <c r="P319" t="str">
        <f>IF('Funding Insights'!$D$5="Industry",Table_startup_data_13[[#This Row],[Industry]],Table_startup_data_13[[#This Row],[Region]])</f>
        <v>Cybersecurity</v>
      </c>
    </row>
    <row r="320" spans="1:16" x14ac:dyDescent="0.25">
      <c r="A320" t="s">
        <v>409</v>
      </c>
      <c r="B320" t="s">
        <v>18</v>
      </c>
      <c r="C320">
        <v>2</v>
      </c>
      <c r="D320">
        <v>293250000</v>
      </c>
      <c r="E320">
        <v>4357490000</v>
      </c>
      <c r="F320">
        <v>47480000</v>
      </c>
      <c r="G320">
        <v>4001</v>
      </c>
      <c r="H320">
        <v>3.0300000000000001E-2</v>
      </c>
      <c r="I320" t="b">
        <v>0</v>
      </c>
      <c r="J320">
        <v>2022</v>
      </c>
      <c r="K320" t="s">
        <v>38</v>
      </c>
      <c r="L320" t="s">
        <v>12</v>
      </c>
      <c r="M320">
        <v>14.86</v>
      </c>
      <c r="N320">
        <v>11867</v>
      </c>
      <c r="O320">
        <v>3</v>
      </c>
      <c r="P320" t="str">
        <f>IF('Funding Insights'!$D$5="Industry",Table_startup_data_13[[#This Row],[Industry]],Table_startup_data_13[[#This Row],[Region]])</f>
        <v>Gaming</v>
      </c>
    </row>
    <row r="321" spans="1:16" x14ac:dyDescent="0.25">
      <c r="A321" t="s">
        <v>411</v>
      </c>
      <c r="B321" t="s">
        <v>22</v>
      </c>
      <c r="C321">
        <v>1</v>
      </c>
      <c r="D321">
        <v>208110000</v>
      </c>
      <c r="E321">
        <v>743780000</v>
      </c>
      <c r="F321">
        <v>53750000</v>
      </c>
      <c r="G321">
        <v>2209</v>
      </c>
      <c r="H321">
        <v>4.1700000000000001E-2</v>
      </c>
      <c r="I321" t="b">
        <v>0</v>
      </c>
      <c r="J321">
        <v>1994</v>
      </c>
      <c r="K321" t="s">
        <v>15</v>
      </c>
      <c r="L321" t="s">
        <v>12</v>
      </c>
      <c r="M321">
        <v>3.57</v>
      </c>
      <c r="N321">
        <v>24332</v>
      </c>
      <c r="O321">
        <v>31</v>
      </c>
      <c r="P321" t="str">
        <f>IF('Funding Insights'!$D$5="Industry",Table_startup_data_13[[#This Row],[Industry]],Table_startup_data_13[[#This Row],[Region]])</f>
        <v>AI</v>
      </c>
    </row>
    <row r="322" spans="1:16" x14ac:dyDescent="0.25">
      <c r="A322" t="s">
        <v>412</v>
      </c>
      <c r="B322" t="s">
        <v>36</v>
      </c>
      <c r="C322">
        <v>1</v>
      </c>
      <c r="D322">
        <v>246520000</v>
      </c>
      <c r="E322">
        <v>852040000</v>
      </c>
      <c r="F322">
        <v>85430000</v>
      </c>
      <c r="G322">
        <v>2662</v>
      </c>
      <c r="H322">
        <v>7.2499999999999995E-2</v>
      </c>
      <c r="I322" t="b">
        <v>0</v>
      </c>
      <c r="J322">
        <v>2016</v>
      </c>
      <c r="K322" t="s">
        <v>15</v>
      </c>
      <c r="L322" t="s">
        <v>12</v>
      </c>
      <c r="M322">
        <v>3.46</v>
      </c>
      <c r="N322">
        <v>32092</v>
      </c>
      <c r="O322">
        <v>9</v>
      </c>
      <c r="P322" t="str">
        <f>IF('Funding Insights'!$D$5="Industry",Table_startup_data_13[[#This Row],[Industry]],Table_startup_data_13[[#This Row],[Region]])</f>
        <v>Cybersecurity</v>
      </c>
    </row>
    <row r="323" spans="1:16" x14ac:dyDescent="0.25">
      <c r="A323" t="s">
        <v>418</v>
      </c>
      <c r="B323" t="s">
        <v>14</v>
      </c>
      <c r="C323">
        <v>2</v>
      </c>
      <c r="D323">
        <v>178640000</v>
      </c>
      <c r="E323">
        <v>1626150000</v>
      </c>
      <c r="F323">
        <v>43910000</v>
      </c>
      <c r="G323">
        <v>635</v>
      </c>
      <c r="H323">
        <v>5.3699999999999998E-2</v>
      </c>
      <c r="I323" t="b">
        <v>1</v>
      </c>
      <c r="J323">
        <v>2008</v>
      </c>
      <c r="K323" t="s">
        <v>38</v>
      </c>
      <c r="L323" t="s">
        <v>12</v>
      </c>
      <c r="M323">
        <v>9.1</v>
      </c>
      <c r="N323">
        <v>69150</v>
      </c>
      <c r="O323">
        <v>17</v>
      </c>
      <c r="P323" t="str">
        <f>IF('Funding Insights'!$D$5="Industry",Table_startup_data_13[[#This Row],[Industry]],Table_startup_data_13[[#This Row],[Region]])</f>
        <v>EdTech</v>
      </c>
    </row>
    <row r="324" spans="1:16" x14ac:dyDescent="0.25">
      <c r="A324" t="s">
        <v>421</v>
      </c>
      <c r="B324" t="s">
        <v>36</v>
      </c>
      <c r="C324">
        <v>5</v>
      </c>
      <c r="D324">
        <v>90000000</v>
      </c>
      <c r="E324">
        <v>1340920000</v>
      </c>
      <c r="F324">
        <v>4530000</v>
      </c>
      <c r="G324">
        <v>2660</v>
      </c>
      <c r="H324">
        <v>5.4600000000000003E-2</v>
      </c>
      <c r="I324" t="b">
        <v>0</v>
      </c>
      <c r="J324">
        <v>2002</v>
      </c>
      <c r="K324" t="s">
        <v>15</v>
      </c>
      <c r="L324" t="s">
        <v>12</v>
      </c>
      <c r="M324">
        <v>14.9</v>
      </c>
      <c r="N324">
        <v>1703</v>
      </c>
      <c r="O324">
        <v>23</v>
      </c>
      <c r="P324" t="str">
        <f>IF('Funding Insights'!$D$5="Industry",Table_startup_data_13[[#This Row],[Industry]],Table_startup_data_13[[#This Row],[Region]])</f>
        <v>Cybersecurity</v>
      </c>
    </row>
    <row r="325" spans="1:16" x14ac:dyDescent="0.25">
      <c r="A325" t="s">
        <v>429</v>
      </c>
      <c r="B325" t="s">
        <v>27</v>
      </c>
      <c r="C325">
        <v>2</v>
      </c>
      <c r="D325">
        <v>166120000</v>
      </c>
      <c r="E325">
        <v>635330000</v>
      </c>
      <c r="F325">
        <v>3060000</v>
      </c>
      <c r="G325">
        <v>3275</v>
      </c>
      <c r="H325">
        <v>1.2699999999999999E-2</v>
      </c>
      <c r="I325" t="b">
        <v>0</v>
      </c>
      <c r="J325">
        <v>2015</v>
      </c>
      <c r="K325" t="s">
        <v>38</v>
      </c>
      <c r="L325" t="s">
        <v>12</v>
      </c>
      <c r="M325">
        <v>3.82</v>
      </c>
      <c r="N325">
        <v>934</v>
      </c>
      <c r="O325">
        <v>10</v>
      </c>
      <c r="P325" t="str">
        <f>IF('Funding Insights'!$D$5="Industry",Table_startup_data_13[[#This Row],[Industry]],Table_startup_data_13[[#This Row],[Region]])</f>
        <v>HealthTech</v>
      </c>
    </row>
    <row r="326" spans="1:16" x14ac:dyDescent="0.25">
      <c r="A326" t="s">
        <v>431</v>
      </c>
      <c r="B326" t="s">
        <v>31</v>
      </c>
      <c r="C326">
        <v>3</v>
      </c>
      <c r="D326">
        <v>235260000</v>
      </c>
      <c r="E326">
        <v>939020000</v>
      </c>
      <c r="F326">
        <v>4580000</v>
      </c>
      <c r="G326">
        <v>3517</v>
      </c>
      <c r="H326">
        <v>3.1800000000000002E-2</v>
      </c>
      <c r="I326" t="b">
        <v>0</v>
      </c>
      <c r="J326">
        <v>2002</v>
      </c>
      <c r="K326" t="s">
        <v>15</v>
      </c>
      <c r="L326" t="s">
        <v>12</v>
      </c>
      <c r="M326">
        <v>3.99</v>
      </c>
      <c r="N326">
        <v>1302</v>
      </c>
      <c r="O326">
        <v>23</v>
      </c>
      <c r="P326" t="str">
        <f>IF('Funding Insights'!$D$5="Industry",Table_startup_data_13[[#This Row],[Industry]],Table_startup_data_13[[#This Row],[Region]])</f>
        <v>FinTech</v>
      </c>
    </row>
    <row r="327" spans="1:16" x14ac:dyDescent="0.25">
      <c r="A327" t="s">
        <v>432</v>
      </c>
      <c r="B327" t="s">
        <v>27</v>
      </c>
      <c r="C327">
        <v>2</v>
      </c>
      <c r="D327">
        <v>144530000</v>
      </c>
      <c r="E327">
        <v>1326190000</v>
      </c>
      <c r="F327">
        <v>45110000</v>
      </c>
      <c r="G327">
        <v>30</v>
      </c>
      <c r="H327">
        <v>1.7500000000000002E-2</v>
      </c>
      <c r="I327" t="b">
        <v>1</v>
      </c>
      <c r="J327">
        <v>2017</v>
      </c>
      <c r="K327" t="s">
        <v>38</v>
      </c>
      <c r="L327" t="s">
        <v>12</v>
      </c>
      <c r="M327">
        <v>9.18</v>
      </c>
      <c r="N327">
        <v>1503667</v>
      </c>
      <c r="O327">
        <v>8</v>
      </c>
      <c r="P327" t="str">
        <f>IF('Funding Insights'!$D$5="Industry",Table_startup_data_13[[#This Row],[Industry]],Table_startup_data_13[[#This Row],[Region]])</f>
        <v>HealthTech</v>
      </c>
    </row>
    <row r="328" spans="1:16" x14ac:dyDescent="0.25">
      <c r="A328" t="s">
        <v>433</v>
      </c>
      <c r="B328" t="s">
        <v>10</v>
      </c>
      <c r="C328">
        <v>3</v>
      </c>
      <c r="D328">
        <v>12710000</v>
      </c>
      <c r="E328">
        <v>175230000</v>
      </c>
      <c r="F328">
        <v>92950000</v>
      </c>
      <c r="G328">
        <v>465</v>
      </c>
      <c r="H328">
        <v>2.5100000000000001E-2</v>
      </c>
      <c r="I328" t="b">
        <v>0</v>
      </c>
      <c r="J328">
        <v>1998</v>
      </c>
      <c r="K328" t="s">
        <v>38</v>
      </c>
      <c r="L328" t="s">
        <v>12</v>
      </c>
      <c r="M328">
        <v>13.79</v>
      </c>
      <c r="N328">
        <v>199892</v>
      </c>
      <c r="O328">
        <v>27</v>
      </c>
      <c r="P328" t="str">
        <f>IF('Funding Insights'!$D$5="Industry",Table_startup_data_13[[#This Row],[Industry]],Table_startup_data_13[[#This Row],[Region]])</f>
        <v>IoT</v>
      </c>
    </row>
    <row r="329" spans="1:16" x14ac:dyDescent="0.25">
      <c r="A329" t="s">
        <v>438</v>
      </c>
      <c r="B329" t="s">
        <v>31</v>
      </c>
      <c r="C329">
        <v>3</v>
      </c>
      <c r="D329">
        <v>195260000</v>
      </c>
      <c r="E329">
        <v>610210000</v>
      </c>
      <c r="F329">
        <v>67130000</v>
      </c>
      <c r="G329">
        <v>495</v>
      </c>
      <c r="H329">
        <v>9.8599999999999993E-2</v>
      </c>
      <c r="I329" t="b">
        <v>0</v>
      </c>
      <c r="J329">
        <v>2020</v>
      </c>
      <c r="K329" t="s">
        <v>38</v>
      </c>
      <c r="L329" t="s">
        <v>12</v>
      </c>
      <c r="M329">
        <v>3.13</v>
      </c>
      <c r="N329">
        <v>135616</v>
      </c>
      <c r="O329">
        <v>5</v>
      </c>
      <c r="P329" t="str">
        <f>IF('Funding Insights'!$D$5="Industry",Table_startup_data_13[[#This Row],[Industry]],Table_startup_data_13[[#This Row],[Region]])</f>
        <v>FinTech</v>
      </c>
    </row>
    <row r="330" spans="1:16" x14ac:dyDescent="0.25">
      <c r="A330" t="s">
        <v>439</v>
      </c>
      <c r="B330" t="s">
        <v>72</v>
      </c>
      <c r="C330">
        <v>3</v>
      </c>
      <c r="D330">
        <v>144040000</v>
      </c>
      <c r="E330">
        <v>873600000</v>
      </c>
      <c r="F330">
        <v>25890000</v>
      </c>
      <c r="G330">
        <v>1077</v>
      </c>
      <c r="H330">
        <v>4.2099999999999999E-2</v>
      </c>
      <c r="I330" t="b">
        <v>0</v>
      </c>
      <c r="J330">
        <v>2003</v>
      </c>
      <c r="K330" t="s">
        <v>38</v>
      </c>
      <c r="L330" t="s">
        <v>12</v>
      </c>
      <c r="M330">
        <v>6.06</v>
      </c>
      <c r="N330">
        <v>24039</v>
      </c>
      <c r="O330">
        <v>22</v>
      </c>
      <c r="P330" t="str">
        <f>IF('Funding Insights'!$D$5="Industry",Table_startup_data_13[[#This Row],[Industry]],Table_startup_data_13[[#This Row],[Region]])</f>
        <v>E-Commerce</v>
      </c>
    </row>
    <row r="331" spans="1:16" x14ac:dyDescent="0.25">
      <c r="A331" t="s">
        <v>446</v>
      </c>
      <c r="B331" t="s">
        <v>10</v>
      </c>
      <c r="C331">
        <v>3</v>
      </c>
      <c r="D331">
        <v>13580000</v>
      </c>
      <c r="E331">
        <v>61150000</v>
      </c>
      <c r="F331">
        <v>310000</v>
      </c>
      <c r="G331">
        <v>4786</v>
      </c>
      <c r="H331">
        <v>3.3399999999999999E-2</v>
      </c>
      <c r="I331" t="b">
        <v>0</v>
      </c>
      <c r="J331">
        <v>2017</v>
      </c>
      <c r="K331" t="s">
        <v>15</v>
      </c>
      <c r="L331" t="s">
        <v>12</v>
      </c>
      <c r="M331">
        <v>4.5</v>
      </c>
      <c r="N331">
        <v>65</v>
      </c>
      <c r="O331">
        <v>8</v>
      </c>
      <c r="P331" t="str">
        <f>IF('Funding Insights'!$D$5="Industry",Table_startup_data_13[[#This Row],[Industry]],Table_startup_data_13[[#This Row],[Region]])</f>
        <v>IoT</v>
      </c>
    </row>
    <row r="332" spans="1:16" x14ac:dyDescent="0.25">
      <c r="A332" t="s">
        <v>447</v>
      </c>
      <c r="B332" t="s">
        <v>22</v>
      </c>
      <c r="C332">
        <v>2</v>
      </c>
      <c r="D332">
        <v>48920000</v>
      </c>
      <c r="E332">
        <v>425210000</v>
      </c>
      <c r="F332">
        <v>71790000</v>
      </c>
      <c r="G332">
        <v>3318</v>
      </c>
      <c r="H332">
        <v>5.5100000000000003E-2</v>
      </c>
      <c r="I332" t="b">
        <v>1</v>
      </c>
      <c r="J332">
        <v>1990</v>
      </c>
      <c r="K332" t="s">
        <v>38</v>
      </c>
      <c r="L332" t="s">
        <v>12</v>
      </c>
      <c r="M332">
        <v>8.69</v>
      </c>
      <c r="N332">
        <v>21637</v>
      </c>
      <c r="O332">
        <v>35</v>
      </c>
      <c r="P332" t="str">
        <f>IF('Funding Insights'!$D$5="Industry",Table_startup_data_13[[#This Row],[Industry]],Table_startup_data_13[[#This Row],[Region]])</f>
        <v>AI</v>
      </c>
    </row>
    <row r="333" spans="1:16" x14ac:dyDescent="0.25">
      <c r="A333" t="s">
        <v>448</v>
      </c>
      <c r="B333" t="s">
        <v>10</v>
      </c>
      <c r="C333">
        <v>4</v>
      </c>
      <c r="D333">
        <v>6750000</v>
      </c>
      <c r="E333">
        <v>29480000</v>
      </c>
      <c r="F333">
        <v>82980000</v>
      </c>
      <c r="G333">
        <v>2846</v>
      </c>
      <c r="H333">
        <v>5.8000000000000003E-2</v>
      </c>
      <c r="I333" t="b">
        <v>1</v>
      </c>
      <c r="J333">
        <v>1997</v>
      </c>
      <c r="K333" t="s">
        <v>38</v>
      </c>
      <c r="L333" t="s">
        <v>12</v>
      </c>
      <c r="M333">
        <v>4.37</v>
      </c>
      <c r="N333">
        <v>29157</v>
      </c>
      <c r="O333">
        <v>28</v>
      </c>
      <c r="P333" t="str">
        <f>IF('Funding Insights'!$D$5="Industry",Table_startup_data_13[[#This Row],[Industry]],Table_startup_data_13[[#This Row],[Region]])</f>
        <v>IoT</v>
      </c>
    </row>
    <row r="334" spans="1:16" x14ac:dyDescent="0.25">
      <c r="A334" t="s">
        <v>451</v>
      </c>
      <c r="B334" t="s">
        <v>14</v>
      </c>
      <c r="C334">
        <v>1</v>
      </c>
      <c r="D334">
        <v>162970000</v>
      </c>
      <c r="E334">
        <v>1507350000</v>
      </c>
      <c r="F334">
        <v>25740000</v>
      </c>
      <c r="G334">
        <v>2300</v>
      </c>
      <c r="H334">
        <v>7.0000000000000007E-2</v>
      </c>
      <c r="I334" t="b">
        <v>0</v>
      </c>
      <c r="J334">
        <v>1993</v>
      </c>
      <c r="K334" t="s">
        <v>38</v>
      </c>
      <c r="L334" t="s">
        <v>12</v>
      </c>
      <c r="M334">
        <v>9.25</v>
      </c>
      <c r="N334">
        <v>11191</v>
      </c>
      <c r="O334">
        <v>32</v>
      </c>
      <c r="P334" t="str">
        <f>IF('Funding Insights'!$D$5="Industry",Table_startup_data_13[[#This Row],[Industry]],Table_startup_data_13[[#This Row],[Region]])</f>
        <v>EdTech</v>
      </c>
    </row>
    <row r="335" spans="1:16" x14ac:dyDescent="0.25">
      <c r="A335" t="s">
        <v>453</v>
      </c>
      <c r="B335" t="s">
        <v>36</v>
      </c>
      <c r="C335">
        <v>4</v>
      </c>
      <c r="D335">
        <v>24920000</v>
      </c>
      <c r="E335">
        <v>121600000</v>
      </c>
      <c r="F335">
        <v>80060000</v>
      </c>
      <c r="G335">
        <v>2998</v>
      </c>
      <c r="H335">
        <v>9.3399999999999997E-2</v>
      </c>
      <c r="I335" t="b">
        <v>0</v>
      </c>
      <c r="J335">
        <v>2001</v>
      </c>
      <c r="K335" t="s">
        <v>38</v>
      </c>
      <c r="L335" t="s">
        <v>12</v>
      </c>
      <c r="M335">
        <v>4.88</v>
      </c>
      <c r="N335">
        <v>26704</v>
      </c>
      <c r="O335">
        <v>24</v>
      </c>
      <c r="P335" t="str">
        <f>IF('Funding Insights'!$D$5="Industry",Table_startup_data_13[[#This Row],[Industry]],Table_startup_data_13[[#This Row],[Region]])</f>
        <v>Cybersecurity</v>
      </c>
    </row>
    <row r="336" spans="1:16" x14ac:dyDescent="0.25">
      <c r="A336" t="s">
        <v>454</v>
      </c>
      <c r="B336" t="s">
        <v>22</v>
      </c>
      <c r="C336">
        <v>1</v>
      </c>
      <c r="D336">
        <v>121280000</v>
      </c>
      <c r="E336">
        <v>427490000</v>
      </c>
      <c r="F336">
        <v>66300000</v>
      </c>
      <c r="G336">
        <v>2474</v>
      </c>
      <c r="H336">
        <v>4.4499999999999998E-2</v>
      </c>
      <c r="I336" t="b">
        <v>0</v>
      </c>
      <c r="J336">
        <v>2015</v>
      </c>
      <c r="K336" t="s">
        <v>15</v>
      </c>
      <c r="L336" t="s">
        <v>12</v>
      </c>
      <c r="M336">
        <v>3.52</v>
      </c>
      <c r="N336">
        <v>26799</v>
      </c>
      <c r="O336">
        <v>10</v>
      </c>
      <c r="P336" t="str">
        <f>IF('Funding Insights'!$D$5="Industry",Table_startup_data_13[[#This Row],[Industry]],Table_startup_data_13[[#This Row],[Region]])</f>
        <v>AI</v>
      </c>
    </row>
    <row r="337" spans="1:16" x14ac:dyDescent="0.25">
      <c r="A337" t="s">
        <v>456</v>
      </c>
      <c r="B337" t="s">
        <v>72</v>
      </c>
      <c r="C337">
        <v>4</v>
      </c>
      <c r="D337">
        <v>125810000</v>
      </c>
      <c r="E337">
        <v>1281050000</v>
      </c>
      <c r="F337">
        <v>59670000</v>
      </c>
      <c r="G337">
        <v>3814</v>
      </c>
      <c r="H337">
        <v>5.1700000000000003E-2</v>
      </c>
      <c r="I337" t="b">
        <v>1</v>
      </c>
      <c r="J337">
        <v>2013</v>
      </c>
      <c r="K337" t="s">
        <v>38</v>
      </c>
      <c r="L337" t="s">
        <v>12</v>
      </c>
      <c r="M337">
        <v>10.18</v>
      </c>
      <c r="N337">
        <v>15645</v>
      </c>
      <c r="O337">
        <v>12</v>
      </c>
      <c r="P337" t="str">
        <f>IF('Funding Insights'!$D$5="Industry",Table_startup_data_13[[#This Row],[Industry]],Table_startup_data_13[[#This Row],[Region]])</f>
        <v>E-Commerce</v>
      </c>
    </row>
    <row r="338" spans="1:16" x14ac:dyDescent="0.25">
      <c r="A338" t="s">
        <v>462</v>
      </c>
      <c r="B338" t="s">
        <v>14</v>
      </c>
      <c r="C338">
        <v>3</v>
      </c>
      <c r="D338">
        <v>253950000</v>
      </c>
      <c r="E338">
        <v>1596200000</v>
      </c>
      <c r="F338">
        <v>41330000</v>
      </c>
      <c r="G338">
        <v>2354</v>
      </c>
      <c r="H338">
        <v>7.7899999999999997E-2</v>
      </c>
      <c r="I338" t="b">
        <v>0</v>
      </c>
      <c r="J338">
        <v>2021</v>
      </c>
      <c r="K338" t="s">
        <v>15</v>
      </c>
      <c r="L338" t="s">
        <v>12</v>
      </c>
      <c r="M338">
        <v>6.29</v>
      </c>
      <c r="N338">
        <v>17557</v>
      </c>
      <c r="O338">
        <v>4</v>
      </c>
      <c r="P338" t="str">
        <f>IF('Funding Insights'!$D$5="Industry",Table_startup_data_13[[#This Row],[Industry]],Table_startup_data_13[[#This Row],[Region]])</f>
        <v>EdTech</v>
      </c>
    </row>
    <row r="339" spans="1:16" x14ac:dyDescent="0.25">
      <c r="A339" t="s">
        <v>465</v>
      </c>
      <c r="B339" t="s">
        <v>72</v>
      </c>
      <c r="C339">
        <v>5</v>
      </c>
      <c r="D339">
        <v>230430000</v>
      </c>
      <c r="E339">
        <v>2062940000</v>
      </c>
      <c r="F339">
        <v>88820000</v>
      </c>
      <c r="G339">
        <v>1762</v>
      </c>
      <c r="H339">
        <v>6.7699999999999996E-2</v>
      </c>
      <c r="I339" t="b">
        <v>0</v>
      </c>
      <c r="J339">
        <v>2017</v>
      </c>
      <c r="K339" t="s">
        <v>38</v>
      </c>
      <c r="L339" t="s">
        <v>12</v>
      </c>
      <c r="M339">
        <v>8.9499999999999993</v>
      </c>
      <c r="N339">
        <v>50409</v>
      </c>
      <c r="O339">
        <v>8</v>
      </c>
      <c r="P339" t="str">
        <f>IF('Funding Insights'!$D$5="Industry",Table_startup_data_13[[#This Row],[Industry]],Table_startup_data_13[[#This Row],[Region]])</f>
        <v>E-Commerce</v>
      </c>
    </row>
    <row r="340" spans="1:16" x14ac:dyDescent="0.25">
      <c r="A340" t="s">
        <v>470</v>
      </c>
      <c r="B340" t="s">
        <v>10</v>
      </c>
      <c r="C340">
        <v>2</v>
      </c>
      <c r="D340">
        <v>9300000</v>
      </c>
      <c r="E340">
        <v>126030000</v>
      </c>
      <c r="F340">
        <v>15520000</v>
      </c>
      <c r="G340">
        <v>3311</v>
      </c>
      <c r="H340">
        <v>8.8300000000000003E-2</v>
      </c>
      <c r="I340" t="b">
        <v>0</v>
      </c>
      <c r="J340">
        <v>2014</v>
      </c>
      <c r="K340" t="s">
        <v>15</v>
      </c>
      <c r="L340" t="s">
        <v>12</v>
      </c>
      <c r="M340">
        <v>13.55</v>
      </c>
      <c r="N340">
        <v>4687</v>
      </c>
      <c r="O340">
        <v>11</v>
      </c>
      <c r="P340" t="str">
        <f>IF('Funding Insights'!$D$5="Industry",Table_startup_data_13[[#This Row],[Industry]],Table_startup_data_13[[#This Row],[Region]])</f>
        <v>IoT</v>
      </c>
    </row>
    <row r="341" spans="1:16" x14ac:dyDescent="0.25">
      <c r="A341" t="s">
        <v>471</v>
      </c>
      <c r="B341" t="s">
        <v>14</v>
      </c>
      <c r="C341">
        <v>1</v>
      </c>
      <c r="D341">
        <v>118960000</v>
      </c>
      <c r="E341">
        <v>725800000</v>
      </c>
      <c r="F341">
        <v>17270000</v>
      </c>
      <c r="G341">
        <v>624</v>
      </c>
      <c r="H341">
        <v>7.3400000000000007E-2</v>
      </c>
      <c r="I341" t="b">
        <v>0</v>
      </c>
      <c r="J341">
        <v>2018</v>
      </c>
      <c r="K341" t="s">
        <v>38</v>
      </c>
      <c r="L341" t="s">
        <v>12</v>
      </c>
      <c r="M341">
        <v>6.1</v>
      </c>
      <c r="N341">
        <v>27676</v>
      </c>
      <c r="O341">
        <v>7</v>
      </c>
      <c r="P341" t="str">
        <f>IF('Funding Insights'!$D$5="Industry",Table_startup_data_13[[#This Row],[Industry]],Table_startup_data_13[[#This Row],[Region]])</f>
        <v>EdTech</v>
      </c>
    </row>
    <row r="342" spans="1:16" x14ac:dyDescent="0.25">
      <c r="A342" t="s">
        <v>477</v>
      </c>
      <c r="B342" t="s">
        <v>14</v>
      </c>
      <c r="C342">
        <v>2</v>
      </c>
      <c r="D342">
        <v>85510000</v>
      </c>
      <c r="E342">
        <v>828910000</v>
      </c>
      <c r="F342">
        <v>82020000</v>
      </c>
      <c r="G342">
        <v>3568</v>
      </c>
      <c r="H342">
        <v>1.3599999999999999E-2</v>
      </c>
      <c r="I342" t="b">
        <v>0</v>
      </c>
      <c r="J342">
        <v>2017</v>
      </c>
      <c r="K342" t="s">
        <v>15</v>
      </c>
      <c r="L342" t="s">
        <v>12</v>
      </c>
      <c r="M342">
        <v>9.69</v>
      </c>
      <c r="N342">
        <v>22988</v>
      </c>
      <c r="O342">
        <v>8</v>
      </c>
      <c r="P342" t="str">
        <f>IF('Funding Insights'!$D$5="Industry",Table_startup_data_13[[#This Row],[Industry]],Table_startup_data_13[[#This Row],[Region]])</f>
        <v>EdTech</v>
      </c>
    </row>
    <row r="343" spans="1:16" x14ac:dyDescent="0.25">
      <c r="A343" t="s">
        <v>483</v>
      </c>
      <c r="B343" t="s">
        <v>31</v>
      </c>
      <c r="C343">
        <v>2</v>
      </c>
      <c r="D343">
        <v>232910000</v>
      </c>
      <c r="E343">
        <v>2206750000</v>
      </c>
      <c r="F343">
        <v>91020000</v>
      </c>
      <c r="G343">
        <v>2748</v>
      </c>
      <c r="H343">
        <v>4.9000000000000002E-2</v>
      </c>
      <c r="I343" t="b">
        <v>0</v>
      </c>
      <c r="J343">
        <v>2004</v>
      </c>
      <c r="K343" t="s">
        <v>15</v>
      </c>
      <c r="L343" t="s">
        <v>12</v>
      </c>
      <c r="M343">
        <v>9.4700000000000006</v>
      </c>
      <c r="N343">
        <v>33122</v>
      </c>
      <c r="O343">
        <v>21</v>
      </c>
      <c r="P343" t="str">
        <f>IF('Funding Insights'!$D$5="Industry",Table_startup_data_13[[#This Row],[Industry]],Table_startup_data_13[[#This Row],[Region]])</f>
        <v>FinTech</v>
      </c>
    </row>
    <row r="344" spans="1:16" x14ac:dyDescent="0.25">
      <c r="A344" t="s">
        <v>484</v>
      </c>
      <c r="B344" t="s">
        <v>10</v>
      </c>
      <c r="C344">
        <v>2</v>
      </c>
      <c r="D344">
        <v>121890000</v>
      </c>
      <c r="E344">
        <v>1430420000</v>
      </c>
      <c r="F344">
        <v>80820000</v>
      </c>
      <c r="G344">
        <v>2498</v>
      </c>
      <c r="H344">
        <v>2.3E-3</v>
      </c>
      <c r="I344" t="b">
        <v>1</v>
      </c>
      <c r="J344">
        <v>2014</v>
      </c>
      <c r="K344" t="s">
        <v>38</v>
      </c>
      <c r="L344" t="s">
        <v>12</v>
      </c>
      <c r="M344">
        <v>11.74</v>
      </c>
      <c r="N344">
        <v>32354</v>
      </c>
      <c r="O344">
        <v>11</v>
      </c>
      <c r="P344" t="str">
        <f>IF('Funding Insights'!$D$5="Industry",Table_startup_data_13[[#This Row],[Industry]],Table_startup_data_13[[#This Row],[Region]])</f>
        <v>IoT</v>
      </c>
    </row>
    <row r="345" spans="1:16" x14ac:dyDescent="0.25">
      <c r="A345" t="s">
        <v>489</v>
      </c>
      <c r="B345" t="s">
        <v>10</v>
      </c>
      <c r="C345">
        <v>4</v>
      </c>
      <c r="D345">
        <v>124200000</v>
      </c>
      <c r="E345">
        <v>1100500000</v>
      </c>
      <c r="F345">
        <v>38800000</v>
      </c>
      <c r="G345">
        <v>1288</v>
      </c>
      <c r="H345">
        <v>2.1600000000000001E-2</v>
      </c>
      <c r="I345" t="b">
        <v>0</v>
      </c>
      <c r="J345">
        <v>2006</v>
      </c>
      <c r="K345" t="s">
        <v>15</v>
      </c>
      <c r="L345" t="s">
        <v>12</v>
      </c>
      <c r="M345">
        <v>8.86</v>
      </c>
      <c r="N345">
        <v>30124</v>
      </c>
      <c r="O345">
        <v>19</v>
      </c>
      <c r="P345" t="str">
        <f>IF('Funding Insights'!$D$5="Industry",Table_startup_data_13[[#This Row],[Industry]],Table_startup_data_13[[#This Row],[Region]])</f>
        <v>IoT</v>
      </c>
    </row>
    <row r="346" spans="1:16" x14ac:dyDescent="0.25">
      <c r="A346" t="s">
        <v>494</v>
      </c>
      <c r="B346" t="s">
        <v>27</v>
      </c>
      <c r="C346">
        <v>3</v>
      </c>
      <c r="D346">
        <v>178080000</v>
      </c>
      <c r="E346">
        <v>2122910000</v>
      </c>
      <c r="F346">
        <v>86190000</v>
      </c>
      <c r="G346">
        <v>3430</v>
      </c>
      <c r="H346">
        <v>8.4900000000000003E-2</v>
      </c>
      <c r="I346" t="b">
        <v>1</v>
      </c>
      <c r="J346">
        <v>2016</v>
      </c>
      <c r="K346" t="s">
        <v>15</v>
      </c>
      <c r="L346" t="s">
        <v>12</v>
      </c>
      <c r="M346">
        <v>11.92</v>
      </c>
      <c r="N346">
        <v>25128</v>
      </c>
      <c r="O346">
        <v>9</v>
      </c>
      <c r="P346" t="str">
        <f>IF('Funding Insights'!$D$5="Industry",Table_startup_data_13[[#This Row],[Industry]],Table_startup_data_13[[#This Row],[Region]])</f>
        <v>HealthTech</v>
      </c>
    </row>
    <row r="347" spans="1:16" x14ac:dyDescent="0.25">
      <c r="A347" t="s">
        <v>508</v>
      </c>
      <c r="B347" t="s">
        <v>14</v>
      </c>
      <c r="C347">
        <v>5</v>
      </c>
      <c r="D347">
        <v>265170000</v>
      </c>
      <c r="E347">
        <v>1412680000</v>
      </c>
      <c r="F347">
        <v>51220000</v>
      </c>
      <c r="G347">
        <v>4287</v>
      </c>
      <c r="H347">
        <v>3.8100000000000002E-2</v>
      </c>
      <c r="I347" t="b">
        <v>0</v>
      </c>
      <c r="J347">
        <v>2008</v>
      </c>
      <c r="K347" t="s">
        <v>15</v>
      </c>
      <c r="L347" t="s">
        <v>12</v>
      </c>
      <c r="M347">
        <v>5.33</v>
      </c>
      <c r="N347">
        <v>11948</v>
      </c>
      <c r="O347">
        <v>17</v>
      </c>
      <c r="P347" t="str">
        <f>IF('Funding Insights'!$D$5="Industry",Table_startup_data_13[[#This Row],[Industry]],Table_startup_data_13[[#This Row],[Region]])</f>
        <v>EdTech</v>
      </c>
    </row>
    <row r="348" spans="1:16" x14ac:dyDescent="0.25">
      <c r="A348" t="s">
        <v>512</v>
      </c>
      <c r="B348" t="s">
        <v>72</v>
      </c>
      <c r="C348">
        <v>1</v>
      </c>
      <c r="D348">
        <v>200980000</v>
      </c>
      <c r="E348">
        <v>2393310000</v>
      </c>
      <c r="F348">
        <v>76210000</v>
      </c>
      <c r="G348">
        <v>90</v>
      </c>
      <c r="H348">
        <v>9.2999999999999999E-2</v>
      </c>
      <c r="I348" t="b">
        <v>1</v>
      </c>
      <c r="J348">
        <v>2007</v>
      </c>
      <c r="K348" t="s">
        <v>38</v>
      </c>
      <c r="L348" t="s">
        <v>12</v>
      </c>
      <c r="M348">
        <v>11.91</v>
      </c>
      <c r="N348">
        <v>846778</v>
      </c>
      <c r="O348">
        <v>18</v>
      </c>
      <c r="P348" t="str">
        <f>IF('Funding Insights'!$D$5="Industry",Table_startup_data_13[[#This Row],[Industry]],Table_startup_data_13[[#This Row],[Region]])</f>
        <v>E-Commerce</v>
      </c>
    </row>
    <row r="349" spans="1:16" x14ac:dyDescent="0.25">
      <c r="A349" t="s">
        <v>521</v>
      </c>
      <c r="B349" t="s">
        <v>22</v>
      </c>
      <c r="C349">
        <v>2</v>
      </c>
      <c r="D349">
        <v>107340000</v>
      </c>
      <c r="E349">
        <v>1394580000</v>
      </c>
      <c r="F349">
        <v>10220000</v>
      </c>
      <c r="G349">
        <v>2223</v>
      </c>
      <c r="H349">
        <v>5.8500000000000003E-2</v>
      </c>
      <c r="I349" t="b">
        <v>0</v>
      </c>
      <c r="J349">
        <v>2019</v>
      </c>
      <c r="K349" t="s">
        <v>15</v>
      </c>
      <c r="L349" t="s">
        <v>12</v>
      </c>
      <c r="M349">
        <v>12.99</v>
      </c>
      <c r="N349">
        <v>4597</v>
      </c>
      <c r="O349">
        <v>6</v>
      </c>
      <c r="P349" t="str">
        <f>IF('Funding Insights'!$D$5="Industry",Table_startup_data_13[[#This Row],[Industry]],Table_startup_data_13[[#This Row],[Region]])</f>
        <v>AI</v>
      </c>
    </row>
    <row r="350" spans="1:16" x14ac:dyDescent="0.25">
      <c r="A350" t="s">
        <v>19</v>
      </c>
      <c r="B350" t="s">
        <v>10</v>
      </c>
      <c r="C350">
        <v>4</v>
      </c>
      <c r="D350">
        <v>249280000</v>
      </c>
      <c r="E350">
        <v>850110000</v>
      </c>
      <c r="F350">
        <v>50250000</v>
      </c>
      <c r="G350">
        <v>1905</v>
      </c>
      <c r="H350">
        <v>4.0899999999999999E-2</v>
      </c>
      <c r="I350" t="b">
        <v>0</v>
      </c>
      <c r="J350">
        <v>1997</v>
      </c>
      <c r="K350" t="s">
        <v>11</v>
      </c>
      <c r="L350" t="s">
        <v>20</v>
      </c>
      <c r="M350">
        <v>3.41</v>
      </c>
      <c r="N350">
        <v>26378</v>
      </c>
      <c r="O350">
        <v>28</v>
      </c>
      <c r="P350" t="str">
        <f>IF('Funding Insights'!$D$5="Industry",Table_startup_data_13[[#This Row],[Industry]],Table_startup_data_13[[#This Row],[Region]])</f>
        <v>IoT</v>
      </c>
    </row>
    <row r="351" spans="1:16" x14ac:dyDescent="0.25">
      <c r="A351" t="s">
        <v>28</v>
      </c>
      <c r="B351" t="s">
        <v>18</v>
      </c>
      <c r="C351">
        <v>5</v>
      </c>
      <c r="D351">
        <v>258390000</v>
      </c>
      <c r="E351">
        <v>935470000</v>
      </c>
      <c r="F351">
        <v>78060000</v>
      </c>
      <c r="G351">
        <v>447</v>
      </c>
      <c r="H351">
        <v>1.6199999999999999E-2</v>
      </c>
      <c r="I351" t="b">
        <v>0</v>
      </c>
      <c r="J351">
        <v>2020</v>
      </c>
      <c r="K351" t="s">
        <v>29</v>
      </c>
      <c r="L351" t="s">
        <v>20</v>
      </c>
      <c r="M351">
        <v>3.62</v>
      </c>
      <c r="N351">
        <v>174631</v>
      </c>
      <c r="O351">
        <v>5</v>
      </c>
      <c r="P351" t="str">
        <f>IF('Funding Insights'!$D$5="Industry",Table_startup_data_13[[#This Row],[Industry]],Table_startup_data_13[[#This Row],[Region]])</f>
        <v>Gaming</v>
      </c>
    </row>
    <row r="352" spans="1:16" x14ac:dyDescent="0.25">
      <c r="A352" t="s">
        <v>34</v>
      </c>
      <c r="B352" t="s">
        <v>10</v>
      </c>
      <c r="C352">
        <v>3</v>
      </c>
      <c r="D352">
        <v>34710000</v>
      </c>
      <c r="E352">
        <v>141020000</v>
      </c>
      <c r="F352">
        <v>290000</v>
      </c>
      <c r="G352">
        <v>4463</v>
      </c>
      <c r="H352">
        <v>5.1799999999999999E-2</v>
      </c>
      <c r="I352" t="b">
        <v>1</v>
      </c>
      <c r="J352">
        <v>2012</v>
      </c>
      <c r="K352" t="s">
        <v>25</v>
      </c>
      <c r="L352" t="s">
        <v>20</v>
      </c>
      <c r="M352">
        <v>4.0599999999999996</v>
      </c>
      <c r="N352">
        <v>65</v>
      </c>
      <c r="O352">
        <v>13</v>
      </c>
      <c r="P352" t="str">
        <f>IF('Funding Insights'!$D$5="Industry",Table_startup_data_13[[#This Row],[Industry]],Table_startup_data_13[[#This Row],[Region]])</f>
        <v>IoT</v>
      </c>
    </row>
    <row r="353" spans="1:16" x14ac:dyDescent="0.25">
      <c r="A353" t="s">
        <v>35</v>
      </c>
      <c r="B353" t="s">
        <v>36</v>
      </c>
      <c r="C353">
        <v>5</v>
      </c>
      <c r="D353">
        <v>169950000</v>
      </c>
      <c r="E353">
        <v>720540000</v>
      </c>
      <c r="F353">
        <v>17920000</v>
      </c>
      <c r="G353">
        <v>1262</v>
      </c>
      <c r="H353">
        <v>4.87E-2</v>
      </c>
      <c r="I353" t="b">
        <v>0</v>
      </c>
      <c r="J353">
        <v>2014</v>
      </c>
      <c r="K353" t="s">
        <v>15</v>
      </c>
      <c r="L353" t="s">
        <v>20</v>
      </c>
      <c r="M353">
        <v>4.24</v>
      </c>
      <c r="N353">
        <v>14200</v>
      </c>
      <c r="O353">
        <v>11</v>
      </c>
      <c r="P353" t="str">
        <f>IF('Funding Insights'!$D$5="Industry",Table_startup_data_13[[#This Row],[Industry]],Table_startup_data_13[[#This Row],[Region]])</f>
        <v>Cybersecurity</v>
      </c>
    </row>
    <row r="354" spans="1:16" x14ac:dyDescent="0.25">
      <c r="A354" t="s">
        <v>37</v>
      </c>
      <c r="B354" t="s">
        <v>31</v>
      </c>
      <c r="C354">
        <v>1</v>
      </c>
      <c r="D354">
        <v>295620000</v>
      </c>
      <c r="E354">
        <v>2960940000</v>
      </c>
      <c r="F354">
        <v>3000000</v>
      </c>
      <c r="G354">
        <v>3639</v>
      </c>
      <c r="H354">
        <v>6.3899999999999998E-2</v>
      </c>
      <c r="I354" t="b">
        <v>1</v>
      </c>
      <c r="J354">
        <v>2015</v>
      </c>
      <c r="K354" t="s">
        <v>38</v>
      </c>
      <c r="L354" t="s">
        <v>20</v>
      </c>
      <c r="M354">
        <v>10.02</v>
      </c>
      <c r="N354">
        <v>824</v>
      </c>
      <c r="O354">
        <v>10</v>
      </c>
      <c r="P354" t="str">
        <f>IF('Funding Insights'!$D$5="Industry",Table_startup_data_13[[#This Row],[Industry]],Table_startup_data_13[[#This Row],[Region]])</f>
        <v>FinTech</v>
      </c>
    </row>
    <row r="355" spans="1:16" x14ac:dyDescent="0.25">
      <c r="A355" t="s">
        <v>42</v>
      </c>
      <c r="B355" t="s">
        <v>18</v>
      </c>
      <c r="C355">
        <v>3</v>
      </c>
      <c r="D355">
        <v>153980000</v>
      </c>
      <c r="E355">
        <v>1729440000</v>
      </c>
      <c r="F355">
        <v>40290000</v>
      </c>
      <c r="G355">
        <v>4345</v>
      </c>
      <c r="H355">
        <v>4.4999999999999998E-2</v>
      </c>
      <c r="I355" t="b">
        <v>0</v>
      </c>
      <c r="J355">
        <v>1995</v>
      </c>
      <c r="K355" t="s">
        <v>29</v>
      </c>
      <c r="L355" t="s">
        <v>20</v>
      </c>
      <c r="M355">
        <v>11.23</v>
      </c>
      <c r="N355">
        <v>9273</v>
      </c>
      <c r="O355">
        <v>30</v>
      </c>
      <c r="P355" t="str">
        <f>IF('Funding Insights'!$D$5="Industry",Table_startup_data_13[[#This Row],[Industry]],Table_startup_data_13[[#This Row],[Region]])</f>
        <v>Gaming</v>
      </c>
    </row>
    <row r="356" spans="1:16" x14ac:dyDescent="0.25">
      <c r="A356" t="s">
        <v>48</v>
      </c>
      <c r="B356" t="s">
        <v>31</v>
      </c>
      <c r="C356">
        <v>1</v>
      </c>
      <c r="D356">
        <v>126800000</v>
      </c>
      <c r="E356">
        <v>1174260000</v>
      </c>
      <c r="F356">
        <v>70320000</v>
      </c>
      <c r="G356">
        <v>3163</v>
      </c>
      <c r="H356">
        <v>4.2099999999999999E-2</v>
      </c>
      <c r="I356" t="b">
        <v>0</v>
      </c>
      <c r="J356">
        <v>2003</v>
      </c>
      <c r="K356" t="s">
        <v>38</v>
      </c>
      <c r="L356" t="s">
        <v>20</v>
      </c>
      <c r="M356">
        <v>9.26</v>
      </c>
      <c r="N356">
        <v>22232</v>
      </c>
      <c r="O356">
        <v>22</v>
      </c>
      <c r="P356" t="str">
        <f>IF('Funding Insights'!$D$5="Industry",Table_startup_data_13[[#This Row],[Industry]],Table_startup_data_13[[#This Row],[Region]])</f>
        <v>FinTech</v>
      </c>
    </row>
    <row r="357" spans="1:16" x14ac:dyDescent="0.25">
      <c r="A357" t="s">
        <v>49</v>
      </c>
      <c r="B357" t="s">
        <v>10</v>
      </c>
      <c r="C357">
        <v>3</v>
      </c>
      <c r="D357">
        <v>40120000</v>
      </c>
      <c r="E357">
        <v>285330000</v>
      </c>
      <c r="F357">
        <v>5380000</v>
      </c>
      <c r="G357">
        <v>790</v>
      </c>
      <c r="H357">
        <v>8.4900000000000003E-2</v>
      </c>
      <c r="I357" t="b">
        <v>1</v>
      </c>
      <c r="J357">
        <v>2002</v>
      </c>
      <c r="K357" t="s">
        <v>29</v>
      </c>
      <c r="L357" t="s">
        <v>20</v>
      </c>
      <c r="M357">
        <v>7.11</v>
      </c>
      <c r="N357">
        <v>6810</v>
      </c>
      <c r="O357">
        <v>23</v>
      </c>
      <c r="P357" t="str">
        <f>IF('Funding Insights'!$D$5="Industry",Table_startup_data_13[[#This Row],[Industry]],Table_startup_data_13[[#This Row],[Region]])</f>
        <v>IoT</v>
      </c>
    </row>
    <row r="358" spans="1:16" x14ac:dyDescent="0.25">
      <c r="A358" t="s">
        <v>52</v>
      </c>
      <c r="B358" t="s">
        <v>31</v>
      </c>
      <c r="C358">
        <v>1</v>
      </c>
      <c r="D358">
        <v>205110000</v>
      </c>
      <c r="E358">
        <v>941980000</v>
      </c>
      <c r="F358">
        <v>60250000</v>
      </c>
      <c r="G358">
        <v>4177</v>
      </c>
      <c r="H358">
        <v>9.7500000000000003E-2</v>
      </c>
      <c r="I358" t="b">
        <v>1</v>
      </c>
      <c r="J358">
        <v>2008</v>
      </c>
      <c r="K358" t="s">
        <v>25</v>
      </c>
      <c r="L358" t="s">
        <v>20</v>
      </c>
      <c r="M358">
        <v>4.59</v>
      </c>
      <c r="N358">
        <v>14424</v>
      </c>
      <c r="O358">
        <v>17</v>
      </c>
      <c r="P358" t="str">
        <f>IF('Funding Insights'!$D$5="Industry",Table_startup_data_13[[#This Row],[Industry]],Table_startup_data_13[[#This Row],[Region]])</f>
        <v>FinTech</v>
      </c>
    </row>
    <row r="359" spans="1:16" x14ac:dyDescent="0.25">
      <c r="A359" t="s">
        <v>53</v>
      </c>
      <c r="B359" t="s">
        <v>31</v>
      </c>
      <c r="C359">
        <v>3</v>
      </c>
      <c r="D359">
        <v>246860000</v>
      </c>
      <c r="E359">
        <v>1165800000</v>
      </c>
      <c r="F359">
        <v>2390000</v>
      </c>
      <c r="G359">
        <v>4159</v>
      </c>
      <c r="H359">
        <v>3.7000000000000002E-3</v>
      </c>
      <c r="I359" t="b">
        <v>0</v>
      </c>
      <c r="J359">
        <v>2006</v>
      </c>
      <c r="K359" t="s">
        <v>29</v>
      </c>
      <c r="L359" t="s">
        <v>20</v>
      </c>
      <c r="M359">
        <v>4.72</v>
      </c>
      <c r="N359">
        <v>575</v>
      </c>
      <c r="O359">
        <v>19</v>
      </c>
      <c r="P359" t="str">
        <f>IF('Funding Insights'!$D$5="Industry",Table_startup_data_13[[#This Row],[Industry]],Table_startup_data_13[[#This Row],[Region]])</f>
        <v>FinTech</v>
      </c>
    </row>
    <row r="360" spans="1:16" x14ac:dyDescent="0.25">
      <c r="A360" t="s">
        <v>54</v>
      </c>
      <c r="B360" t="s">
        <v>22</v>
      </c>
      <c r="C360">
        <v>3</v>
      </c>
      <c r="D360">
        <v>159130000</v>
      </c>
      <c r="E360">
        <v>2272030000</v>
      </c>
      <c r="F360">
        <v>32280000</v>
      </c>
      <c r="G360">
        <v>1941</v>
      </c>
      <c r="H360">
        <v>8.4099999999999994E-2</v>
      </c>
      <c r="I360" t="b">
        <v>0</v>
      </c>
      <c r="J360">
        <v>2008</v>
      </c>
      <c r="K360" t="s">
        <v>38</v>
      </c>
      <c r="L360" t="s">
        <v>20</v>
      </c>
      <c r="M360">
        <v>14.28</v>
      </c>
      <c r="N360">
        <v>16631</v>
      </c>
      <c r="O360">
        <v>17</v>
      </c>
      <c r="P360" t="str">
        <f>IF('Funding Insights'!$D$5="Industry",Table_startup_data_13[[#This Row],[Industry]],Table_startup_data_13[[#This Row],[Region]])</f>
        <v>AI</v>
      </c>
    </row>
    <row r="361" spans="1:16" x14ac:dyDescent="0.25">
      <c r="A361" t="s">
        <v>63</v>
      </c>
      <c r="B361" t="s">
        <v>31</v>
      </c>
      <c r="C361">
        <v>4</v>
      </c>
      <c r="D361">
        <v>79470000</v>
      </c>
      <c r="E361">
        <v>869370000</v>
      </c>
      <c r="F361">
        <v>37410000</v>
      </c>
      <c r="G361">
        <v>2726</v>
      </c>
      <c r="H361">
        <v>5.6800000000000003E-2</v>
      </c>
      <c r="I361" t="b">
        <v>1</v>
      </c>
      <c r="J361">
        <v>1995</v>
      </c>
      <c r="K361" t="s">
        <v>11</v>
      </c>
      <c r="L361" t="s">
        <v>20</v>
      </c>
      <c r="M361">
        <v>10.94</v>
      </c>
      <c r="N361">
        <v>13723</v>
      </c>
      <c r="O361">
        <v>30</v>
      </c>
      <c r="P361" t="str">
        <f>IF('Funding Insights'!$D$5="Industry",Table_startup_data_13[[#This Row],[Industry]],Table_startup_data_13[[#This Row],[Region]])</f>
        <v>FinTech</v>
      </c>
    </row>
    <row r="362" spans="1:16" x14ac:dyDescent="0.25">
      <c r="A362" t="s">
        <v>75</v>
      </c>
      <c r="B362" t="s">
        <v>22</v>
      </c>
      <c r="C362">
        <v>3</v>
      </c>
      <c r="D362">
        <v>106480000</v>
      </c>
      <c r="E362">
        <v>1086870000</v>
      </c>
      <c r="F362">
        <v>63790000</v>
      </c>
      <c r="G362">
        <v>387</v>
      </c>
      <c r="H362">
        <v>8.8999999999999996E-2</v>
      </c>
      <c r="I362" t="b">
        <v>0</v>
      </c>
      <c r="J362">
        <v>1991</v>
      </c>
      <c r="K362" t="s">
        <v>11</v>
      </c>
      <c r="L362" t="s">
        <v>20</v>
      </c>
      <c r="M362">
        <v>10.210000000000001</v>
      </c>
      <c r="N362">
        <v>164832</v>
      </c>
      <c r="O362">
        <v>34</v>
      </c>
      <c r="P362" t="str">
        <f>IF('Funding Insights'!$D$5="Industry",Table_startup_data_13[[#This Row],[Industry]],Table_startup_data_13[[#This Row],[Region]])</f>
        <v>AI</v>
      </c>
    </row>
    <row r="363" spans="1:16" x14ac:dyDescent="0.25">
      <c r="A363" t="s">
        <v>78</v>
      </c>
      <c r="B363" t="s">
        <v>72</v>
      </c>
      <c r="C363">
        <v>1</v>
      </c>
      <c r="D363">
        <v>27560000</v>
      </c>
      <c r="E363">
        <v>303260000</v>
      </c>
      <c r="F363">
        <v>68620000</v>
      </c>
      <c r="G363">
        <v>143</v>
      </c>
      <c r="H363">
        <v>2.63E-2</v>
      </c>
      <c r="I363" t="b">
        <v>1</v>
      </c>
      <c r="J363">
        <v>1997</v>
      </c>
      <c r="K363" t="s">
        <v>11</v>
      </c>
      <c r="L363" t="s">
        <v>20</v>
      </c>
      <c r="M363">
        <v>11</v>
      </c>
      <c r="N363">
        <v>479860</v>
      </c>
      <c r="O363">
        <v>28</v>
      </c>
      <c r="P363" t="str">
        <f>IF('Funding Insights'!$D$5="Industry",Table_startup_data_13[[#This Row],[Industry]],Table_startup_data_13[[#This Row],[Region]])</f>
        <v>E-Commerce</v>
      </c>
    </row>
    <row r="364" spans="1:16" x14ac:dyDescent="0.25">
      <c r="A364" t="s">
        <v>84</v>
      </c>
      <c r="B364" t="s">
        <v>36</v>
      </c>
      <c r="C364">
        <v>1</v>
      </c>
      <c r="D364">
        <v>216600000</v>
      </c>
      <c r="E364">
        <v>2901850000</v>
      </c>
      <c r="F364">
        <v>56600000</v>
      </c>
      <c r="G364">
        <v>1308</v>
      </c>
      <c r="H364">
        <v>3.0200000000000001E-2</v>
      </c>
      <c r="I364" t="b">
        <v>0</v>
      </c>
      <c r="J364">
        <v>1997</v>
      </c>
      <c r="K364" t="s">
        <v>29</v>
      </c>
      <c r="L364" t="s">
        <v>20</v>
      </c>
      <c r="M364">
        <v>13.4</v>
      </c>
      <c r="N364">
        <v>43272</v>
      </c>
      <c r="O364">
        <v>28</v>
      </c>
      <c r="P364" t="str">
        <f>IF('Funding Insights'!$D$5="Industry",Table_startup_data_13[[#This Row],[Industry]],Table_startup_data_13[[#This Row],[Region]])</f>
        <v>Cybersecurity</v>
      </c>
    </row>
    <row r="365" spans="1:16" x14ac:dyDescent="0.25">
      <c r="A365" t="s">
        <v>88</v>
      </c>
      <c r="B365" t="s">
        <v>10</v>
      </c>
      <c r="C365">
        <v>2</v>
      </c>
      <c r="D365">
        <v>286250000</v>
      </c>
      <c r="E365">
        <v>1850390000</v>
      </c>
      <c r="F365">
        <v>58620000</v>
      </c>
      <c r="G365">
        <v>3840</v>
      </c>
      <c r="H365">
        <v>8.2799999999999999E-2</v>
      </c>
      <c r="I365" t="b">
        <v>1</v>
      </c>
      <c r="J365">
        <v>1999</v>
      </c>
      <c r="K365" t="s">
        <v>15</v>
      </c>
      <c r="L365" t="s">
        <v>20</v>
      </c>
      <c r="M365">
        <v>6.46</v>
      </c>
      <c r="N365">
        <v>15266</v>
      </c>
      <c r="O365">
        <v>26</v>
      </c>
      <c r="P365" t="str">
        <f>IF('Funding Insights'!$D$5="Industry",Table_startup_data_13[[#This Row],[Industry]],Table_startup_data_13[[#This Row],[Region]])</f>
        <v>IoT</v>
      </c>
    </row>
    <row r="366" spans="1:16" x14ac:dyDescent="0.25">
      <c r="A366" t="s">
        <v>89</v>
      </c>
      <c r="B366" t="s">
        <v>72</v>
      </c>
      <c r="C366">
        <v>2</v>
      </c>
      <c r="D366">
        <v>40930000</v>
      </c>
      <c r="E366">
        <v>176380000</v>
      </c>
      <c r="F366">
        <v>58690000</v>
      </c>
      <c r="G366">
        <v>2156</v>
      </c>
      <c r="H366">
        <v>5.7000000000000002E-3</v>
      </c>
      <c r="I366" t="b">
        <v>1</v>
      </c>
      <c r="J366">
        <v>2007</v>
      </c>
      <c r="K366" t="s">
        <v>38</v>
      </c>
      <c r="L366" t="s">
        <v>20</v>
      </c>
      <c r="M366">
        <v>4.3099999999999996</v>
      </c>
      <c r="N366">
        <v>27222</v>
      </c>
      <c r="O366">
        <v>18</v>
      </c>
      <c r="P366" t="str">
        <f>IF('Funding Insights'!$D$5="Industry",Table_startup_data_13[[#This Row],[Industry]],Table_startup_data_13[[#This Row],[Region]])</f>
        <v>E-Commerce</v>
      </c>
    </row>
    <row r="367" spans="1:16" x14ac:dyDescent="0.25">
      <c r="A367" t="s">
        <v>98</v>
      </c>
      <c r="B367" t="s">
        <v>31</v>
      </c>
      <c r="C367">
        <v>3</v>
      </c>
      <c r="D367">
        <v>187190000</v>
      </c>
      <c r="E367">
        <v>1405440000</v>
      </c>
      <c r="F367">
        <v>48140000</v>
      </c>
      <c r="G367">
        <v>2665</v>
      </c>
      <c r="H367">
        <v>9.3200000000000005E-2</v>
      </c>
      <c r="I367" t="b">
        <v>1</v>
      </c>
      <c r="J367">
        <v>2012</v>
      </c>
      <c r="K367" t="s">
        <v>38</v>
      </c>
      <c r="L367" t="s">
        <v>20</v>
      </c>
      <c r="M367">
        <v>7.51</v>
      </c>
      <c r="N367">
        <v>18064</v>
      </c>
      <c r="O367">
        <v>13</v>
      </c>
      <c r="P367" t="str">
        <f>IF('Funding Insights'!$D$5="Industry",Table_startup_data_13[[#This Row],[Industry]],Table_startup_data_13[[#This Row],[Region]])</f>
        <v>FinTech</v>
      </c>
    </row>
    <row r="368" spans="1:16" x14ac:dyDescent="0.25">
      <c r="A368" t="s">
        <v>100</v>
      </c>
      <c r="B368" t="s">
        <v>36</v>
      </c>
      <c r="C368">
        <v>1</v>
      </c>
      <c r="D368">
        <v>103640000</v>
      </c>
      <c r="E368">
        <v>1118160000</v>
      </c>
      <c r="F368">
        <v>93740000</v>
      </c>
      <c r="G368">
        <v>1914</v>
      </c>
      <c r="H368">
        <v>5.5100000000000003E-2</v>
      </c>
      <c r="I368" t="b">
        <v>1</v>
      </c>
      <c r="J368">
        <v>2021</v>
      </c>
      <c r="K368" t="s">
        <v>38</v>
      </c>
      <c r="L368" t="s">
        <v>20</v>
      </c>
      <c r="M368">
        <v>10.79</v>
      </c>
      <c r="N368">
        <v>48976</v>
      </c>
      <c r="O368">
        <v>4</v>
      </c>
      <c r="P368" t="str">
        <f>IF('Funding Insights'!$D$5="Industry",Table_startup_data_13[[#This Row],[Industry]],Table_startup_data_13[[#This Row],[Region]])</f>
        <v>Cybersecurity</v>
      </c>
    </row>
    <row r="369" spans="1:16" x14ac:dyDescent="0.25">
      <c r="A369" t="s">
        <v>104</v>
      </c>
      <c r="B369" t="s">
        <v>31</v>
      </c>
      <c r="C369">
        <v>3</v>
      </c>
      <c r="D369">
        <v>179690000</v>
      </c>
      <c r="E369">
        <v>1754000000</v>
      </c>
      <c r="F369">
        <v>90400000</v>
      </c>
      <c r="G369">
        <v>1145</v>
      </c>
      <c r="H369">
        <v>3.6900000000000002E-2</v>
      </c>
      <c r="I369" t="b">
        <v>1</v>
      </c>
      <c r="J369">
        <v>1998</v>
      </c>
      <c r="K369" t="s">
        <v>38</v>
      </c>
      <c r="L369" t="s">
        <v>20</v>
      </c>
      <c r="M369">
        <v>9.76</v>
      </c>
      <c r="N369">
        <v>78952</v>
      </c>
      <c r="O369">
        <v>27</v>
      </c>
      <c r="P369" t="str">
        <f>IF('Funding Insights'!$D$5="Industry",Table_startup_data_13[[#This Row],[Industry]],Table_startup_data_13[[#This Row],[Region]])</f>
        <v>FinTech</v>
      </c>
    </row>
    <row r="370" spans="1:16" x14ac:dyDescent="0.25">
      <c r="A370" t="s">
        <v>106</v>
      </c>
      <c r="B370" t="s">
        <v>22</v>
      </c>
      <c r="C370">
        <v>4</v>
      </c>
      <c r="D370">
        <v>23240000</v>
      </c>
      <c r="E370">
        <v>222690000</v>
      </c>
      <c r="F370">
        <v>78040000</v>
      </c>
      <c r="G370">
        <v>1850</v>
      </c>
      <c r="H370">
        <v>2.0899999999999998E-2</v>
      </c>
      <c r="I370" t="b">
        <v>0</v>
      </c>
      <c r="J370">
        <v>2009</v>
      </c>
      <c r="K370" t="s">
        <v>11</v>
      </c>
      <c r="L370" t="s">
        <v>20</v>
      </c>
      <c r="M370">
        <v>9.58</v>
      </c>
      <c r="N370">
        <v>42184</v>
      </c>
      <c r="O370">
        <v>16</v>
      </c>
      <c r="P370" t="str">
        <f>IF('Funding Insights'!$D$5="Industry",Table_startup_data_13[[#This Row],[Industry]],Table_startup_data_13[[#This Row],[Region]])</f>
        <v>AI</v>
      </c>
    </row>
    <row r="371" spans="1:16" x14ac:dyDescent="0.25">
      <c r="A371" t="s">
        <v>108</v>
      </c>
      <c r="B371" t="s">
        <v>31</v>
      </c>
      <c r="C371">
        <v>2</v>
      </c>
      <c r="D371">
        <v>1200000</v>
      </c>
      <c r="E371">
        <v>11460000</v>
      </c>
      <c r="F371">
        <v>5820000</v>
      </c>
      <c r="G371">
        <v>3635</v>
      </c>
      <c r="H371">
        <v>2E-3</v>
      </c>
      <c r="I371" t="b">
        <v>0</v>
      </c>
      <c r="J371">
        <v>1992</v>
      </c>
      <c r="K371" t="s">
        <v>25</v>
      </c>
      <c r="L371" t="s">
        <v>20</v>
      </c>
      <c r="M371">
        <v>9.5500000000000007</v>
      </c>
      <c r="N371">
        <v>1601</v>
      </c>
      <c r="O371">
        <v>33</v>
      </c>
      <c r="P371" t="str">
        <f>IF('Funding Insights'!$D$5="Industry",Table_startup_data_13[[#This Row],[Industry]],Table_startup_data_13[[#This Row],[Region]])</f>
        <v>FinTech</v>
      </c>
    </row>
    <row r="372" spans="1:16" x14ac:dyDescent="0.25">
      <c r="A372" t="s">
        <v>109</v>
      </c>
      <c r="B372" t="s">
        <v>36</v>
      </c>
      <c r="C372">
        <v>2</v>
      </c>
      <c r="D372">
        <v>290330000</v>
      </c>
      <c r="E372">
        <v>2419330000</v>
      </c>
      <c r="F372">
        <v>22600000</v>
      </c>
      <c r="G372">
        <v>3216</v>
      </c>
      <c r="H372">
        <v>4.4299999999999999E-2</v>
      </c>
      <c r="I372" t="b">
        <v>0</v>
      </c>
      <c r="J372">
        <v>2000</v>
      </c>
      <c r="K372" t="s">
        <v>38</v>
      </c>
      <c r="L372" t="s">
        <v>20</v>
      </c>
      <c r="M372">
        <v>8.33</v>
      </c>
      <c r="N372">
        <v>7027</v>
      </c>
      <c r="O372">
        <v>25</v>
      </c>
      <c r="P372" t="str">
        <f>IF('Funding Insights'!$D$5="Industry",Table_startup_data_13[[#This Row],[Industry]],Table_startup_data_13[[#This Row],[Region]])</f>
        <v>Cybersecurity</v>
      </c>
    </row>
    <row r="373" spans="1:16" x14ac:dyDescent="0.25">
      <c r="A373" t="s">
        <v>111</v>
      </c>
      <c r="B373" t="s">
        <v>36</v>
      </c>
      <c r="C373">
        <v>3</v>
      </c>
      <c r="D373">
        <v>31380000</v>
      </c>
      <c r="E373">
        <v>315200000</v>
      </c>
      <c r="F373">
        <v>39940000</v>
      </c>
      <c r="G373">
        <v>3737</v>
      </c>
      <c r="H373">
        <v>6.1000000000000004E-3</v>
      </c>
      <c r="I373" t="b">
        <v>1</v>
      </c>
      <c r="J373">
        <v>2021</v>
      </c>
      <c r="K373" t="s">
        <v>25</v>
      </c>
      <c r="L373" t="s">
        <v>20</v>
      </c>
      <c r="M373">
        <v>10.039999999999999</v>
      </c>
      <c r="N373">
        <v>10688</v>
      </c>
      <c r="O373">
        <v>4</v>
      </c>
      <c r="P373" t="str">
        <f>IF('Funding Insights'!$D$5="Industry",Table_startup_data_13[[#This Row],[Industry]],Table_startup_data_13[[#This Row],[Region]])</f>
        <v>Cybersecurity</v>
      </c>
    </row>
    <row r="374" spans="1:16" x14ac:dyDescent="0.25">
      <c r="A374" t="s">
        <v>114</v>
      </c>
      <c r="B374" t="s">
        <v>14</v>
      </c>
      <c r="C374">
        <v>4</v>
      </c>
      <c r="D374">
        <v>288650000</v>
      </c>
      <c r="E374">
        <v>3496170000</v>
      </c>
      <c r="F374">
        <v>1440000</v>
      </c>
      <c r="G374">
        <v>480</v>
      </c>
      <c r="H374">
        <v>7.3400000000000007E-2</v>
      </c>
      <c r="I374" t="b">
        <v>0</v>
      </c>
      <c r="J374">
        <v>2006</v>
      </c>
      <c r="K374" t="s">
        <v>38</v>
      </c>
      <c r="L374" t="s">
        <v>20</v>
      </c>
      <c r="M374">
        <v>12.11</v>
      </c>
      <c r="N374">
        <v>3000</v>
      </c>
      <c r="O374">
        <v>19</v>
      </c>
      <c r="P374" t="str">
        <f>IF('Funding Insights'!$D$5="Industry",Table_startup_data_13[[#This Row],[Industry]],Table_startup_data_13[[#This Row],[Region]])</f>
        <v>EdTech</v>
      </c>
    </row>
    <row r="375" spans="1:16" x14ac:dyDescent="0.25">
      <c r="A375" t="s">
        <v>118</v>
      </c>
      <c r="B375" t="s">
        <v>72</v>
      </c>
      <c r="C375">
        <v>2</v>
      </c>
      <c r="D375">
        <v>26470000</v>
      </c>
      <c r="E375">
        <v>348500000</v>
      </c>
      <c r="F375">
        <v>27640000</v>
      </c>
      <c r="G375">
        <v>562</v>
      </c>
      <c r="H375">
        <v>6.1400000000000003E-2</v>
      </c>
      <c r="I375" t="b">
        <v>0</v>
      </c>
      <c r="J375">
        <v>2011</v>
      </c>
      <c r="K375" t="s">
        <v>38</v>
      </c>
      <c r="L375" t="s">
        <v>20</v>
      </c>
      <c r="M375">
        <v>13.17</v>
      </c>
      <c r="N375">
        <v>49181</v>
      </c>
      <c r="O375">
        <v>14</v>
      </c>
      <c r="P375" t="str">
        <f>IF('Funding Insights'!$D$5="Industry",Table_startup_data_13[[#This Row],[Industry]],Table_startup_data_13[[#This Row],[Region]])</f>
        <v>E-Commerce</v>
      </c>
    </row>
    <row r="376" spans="1:16" x14ac:dyDescent="0.25">
      <c r="A376" t="s">
        <v>120</v>
      </c>
      <c r="B376" t="s">
        <v>72</v>
      </c>
      <c r="C376">
        <v>1</v>
      </c>
      <c r="D376">
        <v>227640000</v>
      </c>
      <c r="E376">
        <v>2905870000</v>
      </c>
      <c r="F376">
        <v>78730000</v>
      </c>
      <c r="G376">
        <v>2199</v>
      </c>
      <c r="H376">
        <v>8.2000000000000003E-2</v>
      </c>
      <c r="I376" t="b">
        <v>1</v>
      </c>
      <c r="J376">
        <v>2011</v>
      </c>
      <c r="K376" t="s">
        <v>38</v>
      </c>
      <c r="L376" t="s">
        <v>20</v>
      </c>
      <c r="M376">
        <v>12.77</v>
      </c>
      <c r="N376">
        <v>35803</v>
      </c>
      <c r="O376">
        <v>14</v>
      </c>
      <c r="P376" t="str">
        <f>IF('Funding Insights'!$D$5="Industry",Table_startup_data_13[[#This Row],[Industry]],Table_startup_data_13[[#This Row],[Region]])</f>
        <v>E-Commerce</v>
      </c>
    </row>
    <row r="377" spans="1:16" x14ac:dyDescent="0.25">
      <c r="A377" t="s">
        <v>127</v>
      </c>
      <c r="B377" t="s">
        <v>72</v>
      </c>
      <c r="C377">
        <v>1</v>
      </c>
      <c r="D377">
        <v>194180000</v>
      </c>
      <c r="E377">
        <v>1862760000</v>
      </c>
      <c r="F377">
        <v>85320000</v>
      </c>
      <c r="G377">
        <v>3493</v>
      </c>
      <c r="H377">
        <v>2.2800000000000001E-2</v>
      </c>
      <c r="I377" t="b">
        <v>0</v>
      </c>
      <c r="J377">
        <v>1998</v>
      </c>
      <c r="K377" t="s">
        <v>25</v>
      </c>
      <c r="L377" t="s">
        <v>20</v>
      </c>
      <c r="M377">
        <v>9.59</v>
      </c>
      <c r="N377">
        <v>24426</v>
      </c>
      <c r="O377">
        <v>27</v>
      </c>
      <c r="P377" t="str">
        <f>IF('Funding Insights'!$D$5="Industry",Table_startup_data_13[[#This Row],[Industry]],Table_startup_data_13[[#This Row],[Region]])</f>
        <v>E-Commerce</v>
      </c>
    </row>
    <row r="378" spans="1:16" x14ac:dyDescent="0.25">
      <c r="A378" t="s">
        <v>133</v>
      </c>
      <c r="B378" t="s">
        <v>72</v>
      </c>
      <c r="C378">
        <v>2</v>
      </c>
      <c r="D378">
        <v>299810000</v>
      </c>
      <c r="E378">
        <v>4125560000</v>
      </c>
      <c r="F378">
        <v>77210000</v>
      </c>
      <c r="G378">
        <v>2813</v>
      </c>
      <c r="H378">
        <v>7.5600000000000001E-2</v>
      </c>
      <c r="I378" t="b">
        <v>1</v>
      </c>
      <c r="J378">
        <v>1998</v>
      </c>
      <c r="K378" t="s">
        <v>15</v>
      </c>
      <c r="L378" t="s">
        <v>20</v>
      </c>
      <c r="M378">
        <v>13.76</v>
      </c>
      <c r="N378">
        <v>27448</v>
      </c>
      <c r="O378">
        <v>27</v>
      </c>
      <c r="P378" t="str">
        <f>IF('Funding Insights'!$D$5="Industry",Table_startup_data_13[[#This Row],[Industry]],Table_startup_data_13[[#This Row],[Region]])</f>
        <v>E-Commerce</v>
      </c>
    </row>
    <row r="379" spans="1:16" x14ac:dyDescent="0.25">
      <c r="A379" t="s">
        <v>135</v>
      </c>
      <c r="B379" t="s">
        <v>14</v>
      </c>
      <c r="C379">
        <v>3</v>
      </c>
      <c r="D379">
        <v>142230000</v>
      </c>
      <c r="E379">
        <v>2056070000</v>
      </c>
      <c r="F379">
        <v>23750000</v>
      </c>
      <c r="G379">
        <v>3541</v>
      </c>
      <c r="H379">
        <v>2.76E-2</v>
      </c>
      <c r="I379" t="b">
        <v>0</v>
      </c>
      <c r="J379">
        <v>1999</v>
      </c>
      <c r="K379" t="s">
        <v>11</v>
      </c>
      <c r="L379" t="s">
        <v>20</v>
      </c>
      <c r="M379">
        <v>14.46</v>
      </c>
      <c r="N379">
        <v>6707</v>
      </c>
      <c r="O379">
        <v>26</v>
      </c>
      <c r="P379" t="str">
        <f>IF('Funding Insights'!$D$5="Industry",Table_startup_data_13[[#This Row],[Industry]],Table_startup_data_13[[#This Row],[Region]])</f>
        <v>EdTech</v>
      </c>
    </row>
    <row r="380" spans="1:16" x14ac:dyDescent="0.25">
      <c r="A380" t="s">
        <v>141</v>
      </c>
      <c r="B380" t="s">
        <v>22</v>
      </c>
      <c r="C380">
        <v>4</v>
      </c>
      <c r="D380">
        <v>126820000</v>
      </c>
      <c r="E380">
        <v>633590000</v>
      </c>
      <c r="F380">
        <v>82800000</v>
      </c>
      <c r="G380">
        <v>2824</v>
      </c>
      <c r="H380">
        <v>9.5000000000000001E-2</v>
      </c>
      <c r="I380" t="b">
        <v>1</v>
      </c>
      <c r="J380">
        <v>2017</v>
      </c>
      <c r="K380" t="s">
        <v>29</v>
      </c>
      <c r="L380" t="s">
        <v>20</v>
      </c>
      <c r="M380">
        <v>5</v>
      </c>
      <c r="N380">
        <v>29320</v>
      </c>
      <c r="O380">
        <v>8</v>
      </c>
      <c r="P380" t="str">
        <f>IF('Funding Insights'!$D$5="Industry",Table_startup_data_13[[#This Row],[Industry]],Table_startup_data_13[[#This Row],[Region]])</f>
        <v>AI</v>
      </c>
    </row>
    <row r="381" spans="1:16" x14ac:dyDescent="0.25">
      <c r="A381" t="s">
        <v>143</v>
      </c>
      <c r="B381" t="s">
        <v>10</v>
      </c>
      <c r="C381">
        <v>1</v>
      </c>
      <c r="D381">
        <v>223650000</v>
      </c>
      <c r="E381">
        <v>2074800000</v>
      </c>
      <c r="F381">
        <v>62480000</v>
      </c>
      <c r="G381">
        <v>369</v>
      </c>
      <c r="H381">
        <v>1.3899999999999999E-2</v>
      </c>
      <c r="I381" t="b">
        <v>0</v>
      </c>
      <c r="J381">
        <v>1999</v>
      </c>
      <c r="K381" t="s">
        <v>15</v>
      </c>
      <c r="L381" t="s">
        <v>20</v>
      </c>
      <c r="M381">
        <v>9.2799999999999994</v>
      </c>
      <c r="N381">
        <v>169322</v>
      </c>
      <c r="O381">
        <v>26</v>
      </c>
      <c r="P381" t="str">
        <f>IF('Funding Insights'!$D$5="Industry",Table_startup_data_13[[#This Row],[Industry]],Table_startup_data_13[[#This Row],[Region]])</f>
        <v>IoT</v>
      </c>
    </row>
    <row r="382" spans="1:16" x14ac:dyDescent="0.25">
      <c r="A382" t="s">
        <v>146</v>
      </c>
      <c r="B382" t="s">
        <v>31</v>
      </c>
      <c r="C382">
        <v>3</v>
      </c>
      <c r="D382">
        <v>156970000</v>
      </c>
      <c r="E382">
        <v>1473500000</v>
      </c>
      <c r="F382">
        <v>14580000</v>
      </c>
      <c r="G382">
        <v>2563</v>
      </c>
      <c r="H382">
        <v>7.1099999999999997E-2</v>
      </c>
      <c r="I382" t="b">
        <v>0</v>
      </c>
      <c r="J382">
        <v>2014</v>
      </c>
      <c r="K382" t="s">
        <v>15</v>
      </c>
      <c r="L382" t="s">
        <v>20</v>
      </c>
      <c r="M382">
        <v>9.39</v>
      </c>
      <c r="N382">
        <v>5689</v>
      </c>
      <c r="O382">
        <v>11</v>
      </c>
      <c r="P382" t="str">
        <f>IF('Funding Insights'!$D$5="Industry",Table_startup_data_13[[#This Row],[Industry]],Table_startup_data_13[[#This Row],[Region]])</f>
        <v>FinTech</v>
      </c>
    </row>
    <row r="383" spans="1:16" x14ac:dyDescent="0.25">
      <c r="A383" t="s">
        <v>151</v>
      </c>
      <c r="B383" t="s">
        <v>14</v>
      </c>
      <c r="C383">
        <v>3</v>
      </c>
      <c r="D383">
        <v>144580000</v>
      </c>
      <c r="E383">
        <v>2128320000</v>
      </c>
      <c r="F383">
        <v>94710000</v>
      </c>
      <c r="G383">
        <v>3940</v>
      </c>
      <c r="H383">
        <v>1.8800000000000001E-2</v>
      </c>
      <c r="I383" t="b">
        <v>0</v>
      </c>
      <c r="J383">
        <v>2010</v>
      </c>
      <c r="K383" t="s">
        <v>29</v>
      </c>
      <c r="L383" t="s">
        <v>20</v>
      </c>
      <c r="M383">
        <v>14.72</v>
      </c>
      <c r="N383">
        <v>24038</v>
      </c>
      <c r="O383">
        <v>15</v>
      </c>
      <c r="P383" t="str">
        <f>IF('Funding Insights'!$D$5="Industry",Table_startup_data_13[[#This Row],[Industry]],Table_startup_data_13[[#This Row],[Region]])</f>
        <v>EdTech</v>
      </c>
    </row>
    <row r="384" spans="1:16" x14ac:dyDescent="0.25">
      <c r="A384" t="s">
        <v>152</v>
      </c>
      <c r="B384" t="s">
        <v>36</v>
      </c>
      <c r="C384">
        <v>3</v>
      </c>
      <c r="D384">
        <v>265560000</v>
      </c>
      <c r="E384">
        <v>3419910000</v>
      </c>
      <c r="F384">
        <v>96740000</v>
      </c>
      <c r="G384">
        <v>4940</v>
      </c>
      <c r="H384">
        <v>1.0699999999999999E-2</v>
      </c>
      <c r="I384" t="b">
        <v>1</v>
      </c>
      <c r="J384">
        <v>2010</v>
      </c>
      <c r="K384" t="s">
        <v>11</v>
      </c>
      <c r="L384" t="s">
        <v>20</v>
      </c>
      <c r="M384">
        <v>12.88</v>
      </c>
      <c r="N384">
        <v>19583</v>
      </c>
      <c r="O384">
        <v>15</v>
      </c>
      <c r="P384" t="str">
        <f>IF('Funding Insights'!$D$5="Industry",Table_startup_data_13[[#This Row],[Industry]],Table_startup_data_13[[#This Row],[Region]])</f>
        <v>Cybersecurity</v>
      </c>
    </row>
    <row r="385" spans="1:16" x14ac:dyDescent="0.25">
      <c r="A385" t="s">
        <v>155</v>
      </c>
      <c r="B385" t="s">
        <v>22</v>
      </c>
      <c r="C385">
        <v>2</v>
      </c>
      <c r="D385">
        <v>121640000</v>
      </c>
      <c r="E385">
        <v>1619390000</v>
      </c>
      <c r="F385">
        <v>72030000</v>
      </c>
      <c r="G385">
        <v>1729</v>
      </c>
      <c r="H385">
        <v>1.34E-2</v>
      </c>
      <c r="I385" t="b">
        <v>1</v>
      </c>
      <c r="J385">
        <v>2006</v>
      </c>
      <c r="K385" t="s">
        <v>15</v>
      </c>
      <c r="L385" t="s">
        <v>20</v>
      </c>
      <c r="M385">
        <v>13.31</v>
      </c>
      <c r="N385">
        <v>41660</v>
      </c>
      <c r="O385">
        <v>19</v>
      </c>
      <c r="P385" t="str">
        <f>IF('Funding Insights'!$D$5="Industry",Table_startup_data_13[[#This Row],[Industry]],Table_startup_data_13[[#This Row],[Region]])</f>
        <v>AI</v>
      </c>
    </row>
    <row r="386" spans="1:16" x14ac:dyDescent="0.25">
      <c r="A386" t="s">
        <v>157</v>
      </c>
      <c r="B386" t="s">
        <v>14</v>
      </c>
      <c r="C386">
        <v>2</v>
      </c>
      <c r="D386">
        <v>241290000</v>
      </c>
      <c r="E386">
        <v>1258330000</v>
      </c>
      <c r="F386">
        <v>8980000</v>
      </c>
      <c r="G386">
        <v>2772</v>
      </c>
      <c r="H386">
        <v>3.5099999999999999E-2</v>
      </c>
      <c r="I386" t="b">
        <v>1</v>
      </c>
      <c r="J386">
        <v>2001</v>
      </c>
      <c r="K386" t="s">
        <v>38</v>
      </c>
      <c r="L386" t="s">
        <v>20</v>
      </c>
      <c r="M386">
        <v>5.22</v>
      </c>
      <c r="N386">
        <v>3240</v>
      </c>
      <c r="O386">
        <v>24</v>
      </c>
      <c r="P386" t="str">
        <f>IF('Funding Insights'!$D$5="Industry",Table_startup_data_13[[#This Row],[Industry]],Table_startup_data_13[[#This Row],[Region]])</f>
        <v>EdTech</v>
      </c>
    </row>
    <row r="387" spans="1:16" x14ac:dyDescent="0.25">
      <c r="A387" t="s">
        <v>163</v>
      </c>
      <c r="B387" t="s">
        <v>31</v>
      </c>
      <c r="C387">
        <v>4</v>
      </c>
      <c r="D387">
        <v>263060000</v>
      </c>
      <c r="E387">
        <v>1063940000</v>
      </c>
      <c r="F387">
        <v>54300000</v>
      </c>
      <c r="G387">
        <v>3911</v>
      </c>
      <c r="H387">
        <v>1.66E-2</v>
      </c>
      <c r="I387" t="b">
        <v>0</v>
      </c>
      <c r="J387">
        <v>2005</v>
      </c>
      <c r="K387" t="s">
        <v>29</v>
      </c>
      <c r="L387" t="s">
        <v>20</v>
      </c>
      <c r="M387">
        <v>4.04</v>
      </c>
      <c r="N387">
        <v>13884</v>
      </c>
      <c r="O387">
        <v>20</v>
      </c>
      <c r="P387" t="str">
        <f>IF('Funding Insights'!$D$5="Industry",Table_startup_data_13[[#This Row],[Industry]],Table_startup_data_13[[#This Row],[Region]])</f>
        <v>FinTech</v>
      </c>
    </row>
    <row r="388" spans="1:16" x14ac:dyDescent="0.25">
      <c r="A388" t="s">
        <v>164</v>
      </c>
      <c r="B388" t="s">
        <v>18</v>
      </c>
      <c r="C388">
        <v>2</v>
      </c>
      <c r="D388">
        <v>125540000</v>
      </c>
      <c r="E388">
        <v>1605530000</v>
      </c>
      <c r="F388">
        <v>79190000</v>
      </c>
      <c r="G388">
        <v>3642</v>
      </c>
      <c r="H388">
        <v>1.2800000000000001E-2</v>
      </c>
      <c r="I388" t="b">
        <v>0</v>
      </c>
      <c r="J388">
        <v>1995</v>
      </c>
      <c r="K388" t="s">
        <v>15</v>
      </c>
      <c r="L388" t="s">
        <v>20</v>
      </c>
      <c r="M388">
        <v>12.79</v>
      </c>
      <c r="N388">
        <v>21744</v>
      </c>
      <c r="O388">
        <v>30</v>
      </c>
      <c r="P388" t="str">
        <f>IF('Funding Insights'!$D$5="Industry",Table_startup_data_13[[#This Row],[Industry]],Table_startup_data_13[[#This Row],[Region]])</f>
        <v>Gaming</v>
      </c>
    </row>
    <row r="389" spans="1:16" x14ac:dyDescent="0.25">
      <c r="A389" t="s">
        <v>170</v>
      </c>
      <c r="B389" t="s">
        <v>14</v>
      </c>
      <c r="C389">
        <v>1</v>
      </c>
      <c r="D389">
        <v>279810000</v>
      </c>
      <c r="E389">
        <v>2569240000</v>
      </c>
      <c r="F389">
        <v>14180000</v>
      </c>
      <c r="G389">
        <v>1232</v>
      </c>
      <c r="H389">
        <v>4.8800000000000003E-2</v>
      </c>
      <c r="I389" t="b">
        <v>1</v>
      </c>
      <c r="J389">
        <v>2016</v>
      </c>
      <c r="K389" t="s">
        <v>38</v>
      </c>
      <c r="L389" t="s">
        <v>20</v>
      </c>
      <c r="M389">
        <v>9.18</v>
      </c>
      <c r="N389">
        <v>11510</v>
      </c>
      <c r="O389">
        <v>9</v>
      </c>
      <c r="P389" t="str">
        <f>IF('Funding Insights'!$D$5="Industry",Table_startup_data_13[[#This Row],[Industry]],Table_startup_data_13[[#This Row],[Region]])</f>
        <v>EdTech</v>
      </c>
    </row>
    <row r="390" spans="1:16" x14ac:dyDescent="0.25">
      <c r="A390" t="s">
        <v>175</v>
      </c>
      <c r="B390" t="s">
        <v>10</v>
      </c>
      <c r="C390">
        <v>5</v>
      </c>
      <c r="D390">
        <v>11760000</v>
      </c>
      <c r="E390">
        <v>86190000</v>
      </c>
      <c r="F390">
        <v>46070000</v>
      </c>
      <c r="G390">
        <v>4157</v>
      </c>
      <c r="H390">
        <v>7.8399999999999997E-2</v>
      </c>
      <c r="I390" t="b">
        <v>1</v>
      </c>
      <c r="J390">
        <v>2001</v>
      </c>
      <c r="K390" t="s">
        <v>29</v>
      </c>
      <c r="L390" t="s">
        <v>20</v>
      </c>
      <c r="M390">
        <v>7.33</v>
      </c>
      <c r="N390">
        <v>11083</v>
      </c>
      <c r="O390">
        <v>24</v>
      </c>
      <c r="P390" t="str">
        <f>IF('Funding Insights'!$D$5="Industry",Table_startup_data_13[[#This Row],[Industry]],Table_startup_data_13[[#This Row],[Region]])</f>
        <v>IoT</v>
      </c>
    </row>
    <row r="391" spans="1:16" x14ac:dyDescent="0.25">
      <c r="A391" t="s">
        <v>179</v>
      </c>
      <c r="B391" t="s">
        <v>36</v>
      </c>
      <c r="C391">
        <v>1</v>
      </c>
      <c r="D391">
        <v>119790000</v>
      </c>
      <c r="E391">
        <v>726850000</v>
      </c>
      <c r="F391">
        <v>11280000</v>
      </c>
      <c r="G391">
        <v>2846</v>
      </c>
      <c r="H391">
        <v>8.4500000000000006E-2</v>
      </c>
      <c r="I391" t="b">
        <v>1</v>
      </c>
      <c r="J391">
        <v>2010</v>
      </c>
      <c r="K391" t="s">
        <v>11</v>
      </c>
      <c r="L391" t="s">
        <v>20</v>
      </c>
      <c r="M391">
        <v>6.07</v>
      </c>
      <c r="N391">
        <v>3963</v>
      </c>
      <c r="O391">
        <v>15</v>
      </c>
      <c r="P391" t="str">
        <f>IF('Funding Insights'!$D$5="Industry",Table_startup_data_13[[#This Row],[Industry]],Table_startup_data_13[[#This Row],[Region]])</f>
        <v>Cybersecurity</v>
      </c>
    </row>
    <row r="392" spans="1:16" x14ac:dyDescent="0.25">
      <c r="A392" t="s">
        <v>180</v>
      </c>
      <c r="B392" t="s">
        <v>14</v>
      </c>
      <c r="C392">
        <v>1</v>
      </c>
      <c r="D392">
        <v>27960000</v>
      </c>
      <c r="E392">
        <v>185230000</v>
      </c>
      <c r="F392">
        <v>35660000</v>
      </c>
      <c r="G392">
        <v>4213</v>
      </c>
      <c r="H392">
        <v>1.0699999999999999E-2</v>
      </c>
      <c r="I392" t="b">
        <v>0</v>
      </c>
      <c r="J392">
        <v>1997</v>
      </c>
      <c r="K392" t="s">
        <v>11</v>
      </c>
      <c r="L392" t="s">
        <v>20</v>
      </c>
      <c r="M392">
        <v>6.62</v>
      </c>
      <c r="N392">
        <v>8464</v>
      </c>
      <c r="O392">
        <v>28</v>
      </c>
      <c r="P392" t="str">
        <f>IF('Funding Insights'!$D$5="Industry",Table_startup_data_13[[#This Row],[Industry]],Table_startup_data_13[[#This Row],[Region]])</f>
        <v>EdTech</v>
      </c>
    </row>
    <row r="393" spans="1:16" x14ac:dyDescent="0.25">
      <c r="A393" t="s">
        <v>191</v>
      </c>
      <c r="B393" t="s">
        <v>36</v>
      </c>
      <c r="C393">
        <v>3</v>
      </c>
      <c r="D393">
        <v>273150000</v>
      </c>
      <c r="E393">
        <v>2369500000</v>
      </c>
      <c r="F393">
        <v>66000000</v>
      </c>
      <c r="G393">
        <v>4241</v>
      </c>
      <c r="H393">
        <v>7.17E-2</v>
      </c>
      <c r="I393" t="b">
        <v>1</v>
      </c>
      <c r="J393">
        <v>1999</v>
      </c>
      <c r="K393" t="s">
        <v>11</v>
      </c>
      <c r="L393" t="s">
        <v>20</v>
      </c>
      <c r="M393">
        <v>8.67</v>
      </c>
      <c r="N393">
        <v>15562</v>
      </c>
      <c r="O393">
        <v>26</v>
      </c>
      <c r="P393" t="str">
        <f>IF('Funding Insights'!$D$5="Industry",Table_startup_data_13[[#This Row],[Industry]],Table_startup_data_13[[#This Row],[Region]])</f>
        <v>Cybersecurity</v>
      </c>
    </row>
    <row r="394" spans="1:16" x14ac:dyDescent="0.25">
      <c r="A394" t="s">
        <v>192</v>
      </c>
      <c r="B394" t="s">
        <v>72</v>
      </c>
      <c r="C394">
        <v>3</v>
      </c>
      <c r="D394">
        <v>14010000</v>
      </c>
      <c r="E394">
        <v>132030000</v>
      </c>
      <c r="F394">
        <v>16250000</v>
      </c>
      <c r="G394">
        <v>1772</v>
      </c>
      <c r="H394">
        <v>9.5299999999999996E-2</v>
      </c>
      <c r="I394" t="b">
        <v>0</v>
      </c>
      <c r="J394">
        <v>1996</v>
      </c>
      <c r="K394" t="s">
        <v>25</v>
      </c>
      <c r="L394" t="s">
        <v>20</v>
      </c>
      <c r="M394">
        <v>9.42</v>
      </c>
      <c r="N394">
        <v>9170</v>
      </c>
      <c r="O394">
        <v>29</v>
      </c>
      <c r="P394" t="str">
        <f>IF('Funding Insights'!$D$5="Industry",Table_startup_data_13[[#This Row],[Industry]],Table_startup_data_13[[#This Row],[Region]])</f>
        <v>E-Commerce</v>
      </c>
    </row>
    <row r="395" spans="1:16" x14ac:dyDescent="0.25">
      <c r="A395" t="s">
        <v>196</v>
      </c>
      <c r="B395" t="s">
        <v>36</v>
      </c>
      <c r="C395">
        <v>2</v>
      </c>
      <c r="D395">
        <v>286950000</v>
      </c>
      <c r="E395">
        <v>1570830000</v>
      </c>
      <c r="F395">
        <v>75100000</v>
      </c>
      <c r="G395">
        <v>3203</v>
      </c>
      <c r="H395">
        <v>6.8000000000000005E-2</v>
      </c>
      <c r="I395" t="b">
        <v>1</v>
      </c>
      <c r="J395">
        <v>2008</v>
      </c>
      <c r="K395" t="s">
        <v>38</v>
      </c>
      <c r="L395" t="s">
        <v>20</v>
      </c>
      <c r="M395">
        <v>5.47</v>
      </c>
      <c r="N395">
        <v>23447</v>
      </c>
      <c r="O395">
        <v>17</v>
      </c>
      <c r="P395" t="str">
        <f>IF('Funding Insights'!$D$5="Industry",Table_startup_data_13[[#This Row],[Industry]],Table_startup_data_13[[#This Row],[Region]])</f>
        <v>Cybersecurity</v>
      </c>
    </row>
    <row r="396" spans="1:16" x14ac:dyDescent="0.25">
      <c r="A396" t="s">
        <v>199</v>
      </c>
      <c r="B396" t="s">
        <v>72</v>
      </c>
      <c r="C396">
        <v>1</v>
      </c>
      <c r="D396">
        <v>176770000</v>
      </c>
      <c r="E396">
        <v>1870970000</v>
      </c>
      <c r="F396">
        <v>9510000</v>
      </c>
      <c r="G396">
        <v>4647</v>
      </c>
      <c r="H396">
        <v>8.1799999999999998E-2</v>
      </c>
      <c r="I396" t="b">
        <v>1</v>
      </c>
      <c r="J396">
        <v>2016</v>
      </c>
      <c r="K396" t="s">
        <v>11</v>
      </c>
      <c r="L396" t="s">
        <v>20</v>
      </c>
      <c r="M396">
        <v>10.58</v>
      </c>
      <c r="N396">
        <v>2046</v>
      </c>
      <c r="O396">
        <v>9</v>
      </c>
      <c r="P396" t="str">
        <f>IF('Funding Insights'!$D$5="Industry",Table_startup_data_13[[#This Row],[Industry]],Table_startup_data_13[[#This Row],[Region]])</f>
        <v>E-Commerce</v>
      </c>
    </row>
    <row r="397" spans="1:16" x14ac:dyDescent="0.25">
      <c r="A397" t="s">
        <v>203</v>
      </c>
      <c r="B397" t="s">
        <v>31</v>
      </c>
      <c r="C397">
        <v>1</v>
      </c>
      <c r="D397">
        <v>271170000</v>
      </c>
      <c r="E397">
        <v>2756320000</v>
      </c>
      <c r="F397">
        <v>79850000</v>
      </c>
      <c r="G397">
        <v>3341</v>
      </c>
      <c r="H397">
        <v>9.3600000000000003E-2</v>
      </c>
      <c r="I397" t="b">
        <v>0</v>
      </c>
      <c r="J397">
        <v>1995</v>
      </c>
      <c r="K397" t="s">
        <v>15</v>
      </c>
      <c r="L397" t="s">
        <v>20</v>
      </c>
      <c r="M397">
        <v>10.16</v>
      </c>
      <c r="N397">
        <v>23900</v>
      </c>
      <c r="O397">
        <v>30</v>
      </c>
      <c r="P397" t="str">
        <f>IF('Funding Insights'!$D$5="Industry",Table_startup_data_13[[#This Row],[Industry]],Table_startup_data_13[[#This Row],[Region]])</f>
        <v>FinTech</v>
      </c>
    </row>
    <row r="398" spans="1:16" x14ac:dyDescent="0.25">
      <c r="A398" t="s">
        <v>204</v>
      </c>
      <c r="B398" t="s">
        <v>31</v>
      </c>
      <c r="C398">
        <v>1</v>
      </c>
      <c r="D398">
        <v>296760000</v>
      </c>
      <c r="E398">
        <v>3297030000</v>
      </c>
      <c r="F398">
        <v>37260000</v>
      </c>
      <c r="G398">
        <v>4902</v>
      </c>
      <c r="H398">
        <v>8.5199999999999998E-2</v>
      </c>
      <c r="I398" t="b">
        <v>1</v>
      </c>
      <c r="J398">
        <v>1991</v>
      </c>
      <c r="K398" t="s">
        <v>38</v>
      </c>
      <c r="L398" t="s">
        <v>20</v>
      </c>
      <c r="M398">
        <v>11.11</v>
      </c>
      <c r="N398">
        <v>7601</v>
      </c>
      <c r="O398">
        <v>34</v>
      </c>
      <c r="P398" t="str">
        <f>IF('Funding Insights'!$D$5="Industry",Table_startup_data_13[[#This Row],[Industry]],Table_startup_data_13[[#This Row],[Region]])</f>
        <v>FinTech</v>
      </c>
    </row>
    <row r="399" spans="1:16" x14ac:dyDescent="0.25">
      <c r="A399" t="s">
        <v>206</v>
      </c>
      <c r="B399" t="s">
        <v>14</v>
      </c>
      <c r="C399">
        <v>4</v>
      </c>
      <c r="D399">
        <v>19960000</v>
      </c>
      <c r="E399">
        <v>166660000</v>
      </c>
      <c r="F399">
        <v>39800000</v>
      </c>
      <c r="G399">
        <v>2019</v>
      </c>
      <c r="H399">
        <v>6.3200000000000006E-2</v>
      </c>
      <c r="I399" t="b">
        <v>1</v>
      </c>
      <c r="J399">
        <v>2021</v>
      </c>
      <c r="K399" t="s">
        <v>38</v>
      </c>
      <c r="L399" t="s">
        <v>20</v>
      </c>
      <c r="M399">
        <v>8.35</v>
      </c>
      <c r="N399">
        <v>19713</v>
      </c>
      <c r="O399">
        <v>4</v>
      </c>
      <c r="P399" t="str">
        <f>IF('Funding Insights'!$D$5="Industry",Table_startup_data_13[[#This Row],[Industry]],Table_startup_data_13[[#This Row],[Region]])</f>
        <v>EdTech</v>
      </c>
    </row>
    <row r="400" spans="1:16" x14ac:dyDescent="0.25">
      <c r="A400" t="s">
        <v>208</v>
      </c>
      <c r="B400" t="s">
        <v>72</v>
      </c>
      <c r="C400">
        <v>1</v>
      </c>
      <c r="D400">
        <v>251430000</v>
      </c>
      <c r="E400">
        <v>802020000</v>
      </c>
      <c r="F400">
        <v>44160000</v>
      </c>
      <c r="G400">
        <v>1103</v>
      </c>
      <c r="H400">
        <v>1.7100000000000001E-2</v>
      </c>
      <c r="I400" t="b">
        <v>1</v>
      </c>
      <c r="J400">
        <v>2007</v>
      </c>
      <c r="K400" t="s">
        <v>38</v>
      </c>
      <c r="L400" t="s">
        <v>20</v>
      </c>
      <c r="M400">
        <v>3.19</v>
      </c>
      <c r="N400">
        <v>40036</v>
      </c>
      <c r="O400">
        <v>18</v>
      </c>
      <c r="P400" t="str">
        <f>IF('Funding Insights'!$D$5="Industry",Table_startup_data_13[[#This Row],[Industry]],Table_startup_data_13[[#This Row],[Region]])</f>
        <v>E-Commerce</v>
      </c>
    </row>
    <row r="401" spans="1:16" x14ac:dyDescent="0.25">
      <c r="A401" t="s">
        <v>210</v>
      </c>
      <c r="B401" t="s">
        <v>36</v>
      </c>
      <c r="C401">
        <v>4</v>
      </c>
      <c r="D401">
        <v>249280000</v>
      </c>
      <c r="E401">
        <v>3196890000</v>
      </c>
      <c r="F401">
        <v>18750000</v>
      </c>
      <c r="G401">
        <v>3660</v>
      </c>
      <c r="H401">
        <v>3.0000000000000001E-3</v>
      </c>
      <c r="I401" t="b">
        <v>0</v>
      </c>
      <c r="J401">
        <v>2019</v>
      </c>
      <c r="K401" t="s">
        <v>25</v>
      </c>
      <c r="L401" t="s">
        <v>20</v>
      </c>
      <c r="M401">
        <v>12.82</v>
      </c>
      <c r="N401">
        <v>5123</v>
      </c>
      <c r="O401">
        <v>6</v>
      </c>
      <c r="P401" t="str">
        <f>IF('Funding Insights'!$D$5="Industry",Table_startup_data_13[[#This Row],[Industry]],Table_startup_data_13[[#This Row],[Region]])</f>
        <v>Cybersecurity</v>
      </c>
    </row>
    <row r="402" spans="1:16" x14ac:dyDescent="0.25">
      <c r="A402" t="s">
        <v>213</v>
      </c>
      <c r="B402" t="s">
        <v>10</v>
      </c>
      <c r="C402">
        <v>2</v>
      </c>
      <c r="D402">
        <v>115540000</v>
      </c>
      <c r="E402">
        <v>1602110000</v>
      </c>
      <c r="F402">
        <v>75770000</v>
      </c>
      <c r="G402">
        <v>4049</v>
      </c>
      <c r="H402">
        <v>4.1799999999999997E-2</v>
      </c>
      <c r="I402" t="b">
        <v>1</v>
      </c>
      <c r="J402">
        <v>2002</v>
      </c>
      <c r="K402" t="s">
        <v>11</v>
      </c>
      <c r="L402" t="s">
        <v>20</v>
      </c>
      <c r="M402">
        <v>13.87</v>
      </c>
      <c r="N402">
        <v>18713</v>
      </c>
      <c r="O402">
        <v>23</v>
      </c>
      <c r="P402" t="str">
        <f>IF('Funding Insights'!$D$5="Industry",Table_startup_data_13[[#This Row],[Industry]],Table_startup_data_13[[#This Row],[Region]])</f>
        <v>IoT</v>
      </c>
    </row>
    <row r="403" spans="1:16" x14ac:dyDescent="0.25">
      <c r="A403" t="s">
        <v>221</v>
      </c>
      <c r="B403" t="s">
        <v>10</v>
      </c>
      <c r="C403">
        <v>4</v>
      </c>
      <c r="D403">
        <v>179380000</v>
      </c>
      <c r="E403">
        <v>1866600000</v>
      </c>
      <c r="F403">
        <v>55830000</v>
      </c>
      <c r="G403">
        <v>4262</v>
      </c>
      <c r="H403">
        <v>3.4000000000000002E-2</v>
      </c>
      <c r="I403" t="b">
        <v>0</v>
      </c>
      <c r="J403">
        <v>1998</v>
      </c>
      <c r="K403" t="s">
        <v>15</v>
      </c>
      <c r="L403" t="s">
        <v>20</v>
      </c>
      <c r="M403">
        <v>10.41</v>
      </c>
      <c r="N403">
        <v>13099</v>
      </c>
      <c r="O403">
        <v>27</v>
      </c>
      <c r="P403" t="str">
        <f>IF('Funding Insights'!$D$5="Industry",Table_startup_data_13[[#This Row],[Industry]],Table_startup_data_13[[#This Row],[Region]])</f>
        <v>IoT</v>
      </c>
    </row>
    <row r="404" spans="1:16" x14ac:dyDescent="0.25">
      <c r="A404" t="s">
        <v>222</v>
      </c>
      <c r="B404" t="s">
        <v>31</v>
      </c>
      <c r="C404">
        <v>3</v>
      </c>
      <c r="D404">
        <v>157750000</v>
      </c>
      <c r="E404">
        <v>1310730000</v>
      </c>
      <c r="F404">
        <v>16690000</v>
      </c>
      <c r="G404">
        <v>4550</v>
      </c>
      <c r="H404">
        <v>6.8099999999999994E-2</v>
      </c>
      <c r="I404" t="b">
        <v>1</v>
      </c>
      <c r="J404">
        <v>2021</v>
      </c>
      <c r="K404" t="s">
        <v>25</v>
      </c>
      <c r="L404" t="s">
        <v>20</v>
      </c>
      <c r="M404">
        <v>8.31</v>
      </c>
      <c r="N404">
        <v>3668</v>
      </c>
      <c r="O404">
        <v>4</v>
      </c>
      <c r="P404" t="str">
        <f>IF('Funding Insights'!$D$5="Industry",Table_startup_data_13[[#This Row],[Industry]],Table_startup_data_13[[#This Row],[Region]])</f>
        <v>FinTech</v>
      </c>
    </row>
    <row r="405" spans="1:16" x14ac:dyDescent="0.25">
      <c r="A405" t="s">
        <v>232</v>
      </c>
      <c r="B405" t="s">
        <v>18</v>
      </c>
      <c r="C405">
        <v>5</v>
      </c>
      <c r="D405">
        <v>268530000</v>
      </c>
      <c r="E405">
        <v>1418890000</v>
      </c>
      <c r="F405">
        <v>82060000</v>
      </c>
      <c r="G405">
        <v>1055</v>
      </c>
      <c r="H405">
        <v>6.0499999999999998E-2</v>
      </c>
      <c r="I405" t="b">
        <v>1</v>
      </c>
      <c r="J405">
        <v>2002</v>
      </c>
      <c r="K405" t="s">
        <v>38</v>
      </c>
      <c r="L405" t="s">
        <v>20</v>
      </c>
      <c r="M405">
        <v>5.28</v>
      </c>
      <c r="N405">
        <v>77782</v>
      </c>
      <c r="O405">
        <v>23</v>
      </c>
      <c r="P405" t="str">
        <f>IF('Funding Insights'!$D$5="Industry",Table_startup_data_13[[#This Row],[Industry]],Table_startup_data_13[[#This Row],[Region]])</f>
        <v>Gaming</v>
      </c>
    </row>
    <row r="406" spans="1:16" x14ac:dyDescent="0.25">
      <c r="A406" t="s">
        <v>259</v>
      </c>
      <c r="B406" t="s">
        <v>31</v>
      </c>
      <c r="C406">
        <v>2</v>
      </c>
      <c r="D406">
        <v>198800000</v>
      </c>
      <c r="E406">
        <v>2198470000</v>
      </c>
      <c r="F406">
        <v>11160000</v>
      </c>
      <c r="G406">
        <v>1269</v>
      </c>
      <c r="H406">
        <v>7.7999999999999996E-3</v>
      </c>
      <c r="I406" t="b">
        <v>1</v>
      </c>
      <c r="J406">
        <v>1993</v>
      </c>
      <c r="K406" t="s">
        <v>15</v>
      </c>
      <c r="L406" t="s">
        <v>20</v>
      </c>
      <c r="M406">
        <v>11.06</v>
      </c>
      <c r="N406">
        <v>8794</v>
      </c>
      <c r="O406">
        <v>32</v>
      </c>
      <c r="P406" t="str">
        <f>IF('Funding Insights'!$D$5="Industry",Table_startup_data_13[[#This Row],[Industry]],Table_startup_data_13[[#This Row],[Region]])</f>
        <v>FinTech</v>
      </c>
    </row>
    <row r="407" spans="1:16" x14ac:dyDescent="0.25">
      <c r="A407" t="s">
        <v>266</v>
      </c>
      <c r="B407" t="s">
        <v>36</v>
      </c>
      <c r="C407">
        <v>4</v>
      </c>
      <c r="D407">
        <v>47620000</v>
      </c>
      <c r="E407">
        <v>233890000</v>
      </c>
      <c r="F407">
        <v>81940000</v>
      </c>
      <c r="G407">
        <v>822</v>
      </c>
      <c r="H407">
        <v>7.0699999999999999E-2</v>
      </c>
      <c r="I407" t="b">
        <v>0</v>
      </c>
      <c r="J407">
        <v>2000</v>
      </c>
      <c r="K407" t="s">
        <v>11</v>
      </c>
      <c r="L407" t="s">
        <v>20</v>
      </c>
      <c r="M407">
        <v>4.91</v>
      </c>
      <c r="N407">
        <v>99684</v>
      </c>
      <c r="O407">
        <v>25</v>
      </c>
      <c r="P407" t="str">
        <f>IF('Funding Insights'!$D$5="Industry",Table_startup_data_13[[#This Row],[Industry]],Table_startup_data_13[[#This Row],[Region]])</f>
        <v>Cybersecurity</v>
      </c>
    </row>
    <row r="408" spans="1:16" x14ac:dyDescent="0.25">
      <c r="A408" t="s">
        <v>284</v>
      </c>
      <c r="B408" t="s">
        <v>10</v>
      </c>
      <c r="C408">
        <v>4</v>
      </c>
      <c r="D408">
        <v>227110000</v>
      </c>
      <c r="E408">
        <v>2047130000</v>
      </c>
      <c r="F408">
        <v>3210000</v>
      </c>
      <c r="G408">
        <v>3904</v>
      </c>
      <c r="H408">
        <v>3.7999999999999999E-2</v>
      </c>
      <c r="I408" t="b">
        <v>0</v>
      </c>
      <c r="J408">
        <v>2005</v>
      </c>
      <c r="K408" t="s">
        <v>15</v>
      </c>
      <c r="L408" t="s">
        <v>20</v>
      </c>
      <c r="M408">
        <v>9.01</v>
      </c>
      <c r="N408">
        <v>822</v>
      </c>
      <c r="O408">
        <v>20</v>
      </c>
      <c r="P408" t="str">
        <f>IF('Funding Insights'!$D$5="Industry",Table_startup_data_13[[#This Row],[Industry]],Table_startup_data_13[[#This Row],[Region]])</f>
        <v>IoT</v>
      </c>
    </row>
    <row r="409" spans="1:16" x14ac:dyDescent="0.25">
      <c r="A409" t="s">
        <v>286</v>
      </c>
      <c r="B409" t="s">
        <v>31</v>
      </c>
      <c r="C409">
        <v>5</v>
      </c>
      <c r="D409">
        <v>58340000</v>
      </c>
      <c r="E409">
        <v>552880000</v>
      </c>
      <c r="F409">
        <v>10720000</v>
      </c>
      <c r="G409">
        <v>3805</v>
      </c>
      <c r="H409">
        <v>6.3100000000000003E-2</v>
      </c>
      <c r="I409" t="b">
        <v>0</v>
      </c>
      <c r="J409">
        <v>2019</v>
      </c>
      <c r="K409" t="s">
        <v>25</v>
      </c>
      <c r="L409" t="s">
        <v>20</v>
      </c>
      <c r="M409">
        <v>9.48</v>
      </c>
      <c r="N409">
        <v>2817</v>
      </c>
      <c r="O409">
        <v>6</v>
      </c>
      <c r="P409" t="str">
        <f>IF('Funding Insights'!$D$5="Industry",Table_startup_data_13[[#This Row],[Industry]],Table_startup_data_13[[#This Row],[Region]])</f>
        <v>FinTech</v>
      </c>
    </row>
    <row r="410" spans="1:16" x14ac:dyDescent="0.25">
      <c r="A410" t="s">
        <v>287</v>
      </c>
      <c r="B410" t="s">
        <v>14</v>
      </c>
      <c r="C410">
        <v>1</v>
      </c>
      <c r="D410">
        <v>25690000</v>
      </c>
      <c r="E410">
        <v>270650000</v>
      </c>
      <c r="F410">
        <v>31560000</v>
      </c>
      <c r="G410">
        <v>4123</v>
      </c>
      <c r="H410">
        <v>3.9199999999999999E-2</v>
      </c>
      <c r="I410" t="b">
        <v>0</v>
      </c>
      <c r="J410">
        <v>2009</v>
      </c>
      <c r="K410" t="s">
        <v>38</v>
      </c>
      <c r="L410" t="s">
        <v>20</v>
      </c>
      <c r="M410">
        <v>10.54</v>
      </c>
      <c r="N410">
        <v>7655</v>
      </c>
      <c r="O410">
        <v>16</v>
      </c>
      <c r="P410" t="str">
        <f>IF('Funding Insights'!$D$5="Industry",Table_startup_data_13[[#This Row],[Industry]],Table_startup_data_13[[#This Row],[Region]])</f>
        <v>EdTech</v>
      </c>
    </row>
    <row r="411" spans="1:16" x14ac:dyDescent="0.25">
      <c r="A411" t="s">
        <v>293</v>
      </c>
      <c r="B411" t="s">
        <v>72</v>
      </c>
      <c r="C411">
        <v>5</v>
      </c>
      <c r="D411">
        <v>245690000</v>
      </c>
      <c r="E411">
        <v>3150930000</v>
      </c>
      <c r="F411">
        <v>7360000</v>
      </c>
      <c r="G411">
        <v>527</v>
      </c>
      <c r="H411">
        <v>6.2100000000000002E-2</v>
      </c>
      <c r="I411" t="b">
        <v>0</v>
      </c>
      <c r="J411">
        <v>2002</v>
      </c>
      <c r="K411" t="s">
        <v>15</v>
      </c>
      <c r="L411" t="s">
        <v>20</v>
      </c>
      <c r="M411">
        <v>12.82</v>
      </c>
      <c r="N411">
        <v>13966</v>
      </c>
      <c r="O411">
        <v>23</v>
      </c>
      <c r="P411" t="str">
        <f>IF('Funding Insights'!$D$5="Industry",Table_startup_data_13[[#This Row],[Industry]],Table_startup_data_13[[#This Row],[Region]])</f>
        <v>E-Commerce</v>
      </c>
    </row>
    <row r="412" spans="1:16" x14ac:dyDescent="0.25">
      <c r="A412" t="s">
        <v>302</v>
      </c>
      <c r="B412" t="s">
        <v>18</v>
      </c>
      <c r="C412">
        <v>3</v>
      </c>
      <c r="D412">
        <v>236750000</v>
      </c>
      <c r="E412">
        <v>2072100000</v>
      </c>
      <c r="F412">
        <v>75950000</v>
      </c>
      <c r="G412">
        <v>2592</v>
      </c>
      <c r="H412">
        <v>8.09E-2</v>
      </c>
      <c r="I412" t="b">
        <v>0</v>
      </c>
      <c r="J412">
        <v>1991</v>
      </c>
      <c r="K412" t="s">
        <v>38</v>
      </c>
      <c r="L412" t="s">
        <v>20</v>
      </c>
      <c r="M412">
        <v>8.75</v>
      </c>
      <c r="N412">
        <v>29302</v>
      </c>
      <c r="O412">
        <v>34</v>
      </c>
      <c r="P412" t="str">
        <f>IF('Funding Insights'!$D$5="Industry",Table_startup_data_13[[#This Row],[Industry]],Table_startup_data_13[[#This Row],[Region]])</f>
        <v>Gaming</v>
      </c>
    </row>
    <row r="413" spans="1:16" x14ac:dyDescent="0.25">
      <c r="A413" t="s">
        <v>304</v>
      </c>
      <c r="B413" t="s">
        <v>27</v>
      </c>
      <c r="C413">
        <v>1</v>
      </c>
      <c r="D413">
        <v>231370000</v>
      </c>
      <c r="E413">
        <v>2377660000</v>
      </c>
      <c r="F413">
        <v>23350000</v>
      </c>
      <c r="G413">
        <v>1383</v>
      </c>
      <c r="H413">
        <v>8.1900000000000001E-2</v>
      </c>
      <c r="I413" t="b">
        <v>0</v>
      </c>
      <c r="J413">
        <v>1998</v>
      </c>
      <c r="K413" t="s">
        <v>29</v>
      </c>
      <c r="L413" t="s">
        <v>20</v>
      </c>
      <c r="M413">
        <v>10.28</v>
      </c>
      <c r="N413">
        <v>16884</v>
      </c>
      <c r="O413">
        <v>27</v>
      </c>
      <c r="P413" t="str">
        <f>IF('Funding Insights'!$D$5="Industry",Table_startup_data_13[[#This Row],[Industry]],Table_startup_data_13[[#This Row],[Region]])</f>
        <v>HealthTech</v>
      </c>
    </row>
    <row r="414" spans="1:16" x14ac:dyDescent="0.25">
      <c r="A414" t="s">
        <v>313</v>
      </c>
      <c r="B414" t="s">
        <v>18</v>
      </c>
      <c r="C414">
        <v>5</v>
      </c>
      <c r="D414">
        <v>297050000</v>
      </c>
      <c r="E414">
        <v>2595860000</v>
      </c>
      <c r="F414">
        <v>38010000</v>
      </c>
      <c r="G414">
        <v>401</v>
      </c>
      <c r="H414">
        <v>6.5699999999999995E-2</v>
      </c>
      <c r="I414" t="b">
        <v>1</v>
      </c>
      <c r="J414">
        <v>2013</v>
      </c>
      <c r="K414" t="s">
        <v>25</v>
      </c>
      <c r="L414" t="s">
        <v>20</v>
      </c>
      <c r="M414">
        <v>8.74</v>
      </c>
      <c r="N414">
        <v>94788</v>
      </c>
      <c r="O414">
        <v>12</v>
      </c>
      <c r="P414" t="str">
        <f>IF('Funding Insights'!$D$5="Industry",Table_startup_data_13[[#This Row],[Industry]],Table_startup_data_13[[#This Row],[Region]])</f>
        <v>Gaming</v>
      </c>
    </row>
    <row r="415" spans="1:16" x14ac:dyDescent="0.25">
      <c r="A415" t="s">
        <v>316</v>
      </c>
      <c r="B415" t="s">
        <v>18</v>
      </c>
      <c r="C415">
        <v>3</v>
      </c>
      <c r="D415">
        <v>194450000</v>
      </c>
      <c r="E415">
        <v>769940000</v>
      </c>
      <c r="F415">
        <v>12970000</v>
      </c>
      <c r="G415">
        <v>4429</v>
      </c>
      <c r="H415">
        <v>9.1200000000000003E-2</v>
      </c>
      <c r="I415" t="b">
        <v>1</v>
      </c>
      <c r="J415">
        <v>2020</v>
      </c>
      <c r="K415" t="s">
        <v>11</v>
      </c>
      <c r="L415" t="s">
        <v>20</v>
      </c>
      <c r="M415">
        <v>3.96</v>
      </c>
      <c r="N415">
        <v>2928</v>
      </c>
      <c r="O415">
        <v>5</v>
      </c>
      <c r="P415" t="str">
        <f>IF('Funding Insights'!$D$5="Industry",Table_startup_data_13[[#This Row],[Industry]],Table_startup_data_13[[#This Row],[Region]])</f>
        <v>Gaming</v>
      </c>
    </row>
    <row r="416" spans="1:16" x14ac:dyDescent="0.25">
      <c r="A416" t="s">
        <v>318</v>
      </c>
      <c r="B416" t="s">
        <v>72</v>
      </c>
      <c r="C416">
        <v>4</v>
      </c>
      <c r="D416">
        <v>115390000</v>
      </c>
      <c r="E416">
        <v>515150000</v>
      </c>
      <c r="F416">
        <v>80260000</v>
      </c>
      <c r="G416">
        <v>3898</v>
      </c>
      <c r="H416">
        <v>3.6200000000000003E-2</v>
      </c>
      <c r="I416" t="b">
        <v>0</v>
      </c>
      <c r="J416">
        <v>1991</v>
      </c>
      <c r="K416" t="s">
        <v>38</v>
      </c>
      <c r="L416" t="s">
        <v>20</v>
      </c>
      <c r="M416">
        <v>4.46</v>
      </c>
      <c r="N416">
        <v>20590</v>
      </c>
      <c r="O416">
        <v>34</v>
      </c>
      <c r="P416" t="str">
        <f>IF('Funding Insights'!$D$5="Industry",Table_startup_data_13[[#This Row],[Industry]],Table_startup_data_13[[#This Row],[Region]])</f>
        <v>E-Commerce</v>
      </c>
    </row>
    <row r="417" spans="1:16" x14ac:dyDescent="0.25">
      <c r="A417" t="s">
        <v>322</v>
      </c>
      <c r="B417" t="s">
        <v>10</v>
      </c>
      <c r="C417">
        <v>1</v>
      </c>
      <c r="D417">
        <v>245730000</v>
      </c>
      <c r="E417">
        <v>1556220000</v>
      </c>
      <c r="F417">
        <v>2810000</v>
      </c>
      <c r="G417">
        <v>2673</v>
      </c>
      <c r="H417">
        <v>3.61E-2</v>
      </c>
      <c r="I417" t="b">
        <v>0</v>
      </c>
      <c r="J417">
        <v>2017</v>
      </c>
      <c r="K417" t="s">
        <v>15</v>
      </c>
      <c r="L417" t="s">
        <v>20</v>
      </c>
      <c r="M417">
        <v>6.33</v>
      </c>
      <c r="N417">
        <v>1051</v>
      </c>
      <c r="O417">
        <v>8</v>
      </c>
      <c r="P417" t="str">
        <f>IF('Funding Insights'!$D$5="Industry",Table_startup_data_13[[#This Row],[Industry]],Table_startup_data_13[[#This Row],[Region]])</f>
        <v>IoT</v>
      </c>
    </row>
    <row r="418" spans="1:16" x14ac:dyDescent="0.25">
      <c r="A418" t="s">
        <v>324</v>
      </c>
      <c r="B418" t="s">
        <v>27</v>
      </c>
      <c r="C418">
        <v>3</v>
      </c>
      <c r="D418">
        <v>810000</v>
      </c>
      <c r="E418">
        <v>2430000</v>
      </c>
      <c r="F418">
        <v>12830000</v>
      </c>
      <c r="G418">
        <v>1201</v>
      </c>
      <c r="H418">
        <v>2.23E-2</v>
      </c>
      <c r="I418" t="b">
        <v>0</v>
      </c>
      <c r="J418">
        <v>2013</v>
      </c>
      <c r="K418" t="s">
        <v>15</v>
      </c>
      <c r="L418" t="s">
        <v>20</v>
      </c>
      <c r="M418">
        <v>3</v>
      </c>
      <c r="N418">
        <v>10683</v>
      </c>
      <c r="O418">
        <v>12</v>
      </c>
      <c r="P418" t="str">
        <f>IF('Funding Insights'!$D$5="Industry",Table_startup_data_13[[#This Row],[Industry]],Table_startup_data_13[[#This Row],[Region]])</f>
        <v>HealthTech</v>
      </c>
    </row>
    <row r="419" spans="1:16" x14ac:dyDescent="0.25">
      <c r="A419" t="s">
        <v>335</v>
      </c>
      <c r="B419" t="s">
        <v>27</v>
      </c>
      <c r="C419">
        <v>3</v>
      </c>
      <c r="D419">
        <v>69400000</v>
      </c>
      <c r="E419">
        <v>455840000</v>
      </c>
      <c r="F419">
        <v>63550000</v>
      </c>
      <c r="G419">
        <v>360</v>
      </c>
      <c r="H419">
        <v>5.1799999999999999E-2</v>
      </c>
      <c r="I419" t="b">
        <v>0</v>
      </c>
      <c r="J419">
        <v>2003</v>
      </c>
      <c r="K419" t="s">
        <v>38</v>
      </c>
      <c r="L419" t="s">
        <v>20</v>
      </c>
      <c r="M419">
        <v>6.57</v>
      </c>
      <c r="N419">
        <v>176528</v>
      </c>
      <c r="O419">
        <v>22</v>
      </c>
      <c r="P419" t="str">
        <f>IF('Funding Insights'!$D$5="Industry",Table_startup_data_13[[#This Row],[Industry]],Table_startup_data_13[[#This Row],[Region]])</f>
        <v>HealthTech</v>
      </c>
    </row>
    <row r="420" spans="1:16" x14ac:dyDescent="0.25">
      <c r="A420" t="s">
        <v>337</v>
      </c>
      <c r="B420" t="s">
        <v>22</v>
      </c>
      <c r="C420">
        <v>2</v>
      </c>
      <c r="D420">
        <v>260480000</v>
      </c>
      <c r="E420">
        <v>1314900000</v>
      </c>
      <c r="F420">
        <v>21920000</v>
      </c>
      <c r="G420">
        <v>3328</v>
      </c>
      <c r="H420">
        <v>9.8799999999999999E-2</v>
      </c>
      <c r="I420" t="b">
        <v>1</v>
      </c>
      <c r="J420">
        <v>2014</v>
      </c>
      <c r="K420" t="s">
        <v>15</v>
      </c>
      <c r="L420" t="s">
        <v>20</v>
      </c>
      <c r="M420">
        <v>5.05</v>
      </c>
      <c r="N420">
        <v>6587</v>
      </c>
      <c r="O420">
        <v>11</v>
      </c>
      <c r="P420" t="str">
        <f>IF('Funding Insights'!$D$5="Industry",Table_startup_data_13[[#This Row],[Industry]],Table_startup_data_13[[#This Row],[Region]])</f>
        <v>AI</v>
      </c>
    </row>
    <row r="421" spans="1:16" x14ac:dyDescent="0.25">
      <c r="A421" t="s">
        <v>342</v>
      </c>
      <c r="B421" t="s">
        <v>27</v>
      </c>
      <c r="C421">
        <v>3</v>
      </c>
      <c r="D421">
        <v>257280000</v>
      </c>
      <c r="E421">
        <v>2907110000</v>
      </c>
      <c r="F421">
        <v>56760000</v>
      </c>
      <c r="G421">
        <v>2106</v>
      </c>
      <c r="H421">
        <v>8.0199999999999994E-2</v>
      </c>
      <c r="I421" t="b">
        <v>0</v>
      </c>
      <c r="J421">
        <v>1992</v>
      </c>
      <c r="K421" t="s">
        <v>11</v>
      </c>
      <c r="L421" t="s">
        <v>20</v>
      </c>
      <c r="M421">
        <v>11.3</v>
      </c>
      <c r="N421">
        <v>26952</v>
      </c>
      <c r="O421">
        <v>33</v>
      </c>
      <c r="P421" t="str">
        <f>IF('Funding Insights'!$D$5="Industry",Table_startup_data_13[[#This Row],[Industry]],Table_startup_data_13[[#This Row],[Region]])</f>
        <v>HealthTech</v>
      </c>
    </row>
    <row r="422" spans="1:16" x14ac:dyDescent="0.25">
      <c r="A422" t="s">
        <v>350</v>
      </c>
      <c r="B422" t="s">
        <v>72</v>
      </c>
      <c r="C422">
        <v>1</v>
      </c>
      <c r="D422">
        <v>60510000</v>
      </c>
      <c r="E422">
        <v>797290000</v>
      </c>
      <c r="F422">
        <v>87740000</v>
      </c>
      <c r="G422">
        <v>1820</v>
      </c>
      <c r="H422">
        <v>8.7499999999999994E-2</v>
      </c>
      <c r="I422" t="b">
        <v>0</v>
      </c>
      <c r="J422">
        <v>2020</v>
      </c>
      <c r="K422" t="s">
        <v>29</v>
      </c>
      <c r="L422" t="s">
        <v>20</v>
      </c>
      <c r="M422">
        <v>13.18</v>
      </c>
      <c r="N422">
        <v>48209</v>
      </c>
      <c r="O422">
        <v>5</v>
      </c>
      <c r="P422" t="str">
        <f>IF('Funding Insights'!$D$5="Industry",Table_startup_data_13[[#This Row],[Industry]],Table_startup_data_13[[#This Row],[Region]])</f>
        <v>E-Commerce</v>
      </c>
    </row>
    <row r="423" spans="1:16" x14ac:dyDescent="0.25">
      <c r="A423" t="s">
        <v>358</v>
      </c>
      <c r="B423" t="s">
        <v>72</v>
      </c>
      <c r="C423">
        <v>5</v>
      </c>
      <c r="D423">
        <v>27800000</v>
      </c>
      <c r="E423">
        <v>142410000</v>
      </c>
      <c r="F423">
        <v>28600000</v>
      </c>
      <c r="G423">
        <v>2069</v>
      </c>
      <c r="H423">
        <v>5.0500000000000003E-2</v>
      </c>
      <c r="I423" t="b">
        <v>1</v>
      </c>
      <c r="J423">
        <v>1996</v>
      </c>
      <c r="K423" t="s">
        <v>11</v>
      </c>
      <c r="L423" t="s">
        <v>20</v>
      </c>
      <c r="M423">
        <v>5.12</v>
      </c>
      <c r="N423">
        <v>13823</v>
      </c>
      <c r="O423">
        <v>29</v>
      </c>
      <c r="P423" t="str">
        <f>IF('Funding Insights'!$D$5="Industry",Table_startup_data_13[[#This Row],[Industry]],Table_startup_data_13[[#This Row],[Region]])</f>
        <v>E-Commerce</v>
      </c>
    </row>
    <row r="424" spans="1:16" x14ac:dyDescent="0.25">
      <c r="A424" t="s">
        <v>360</v>
      </c>
      <c r="B424" t="s">
        <v>72</v>
      </c>
      <c r="C424">
        <v>5</v>
      </c>
      <c r="D424">
        <v>136380000</v>
      </c>
      <c r="E424">
        <v>1986490000</v>
      </c>
      <c r="F424">
        <v>26850000</v>
      </c>
      <c r="G424">
        <v>3258</v>
      </c>
      <c r="H424">
        <v>6.0299999999999999E-2</v>
      </c>
      <c r="I424" t="b">
        <v>1</v>
      </c>
      <c r="J424">
        <v>2004</v>
      </c>
      <c r="K424" t="s">
        <v>15</v>
      </c>
      <c r="L424" t="s">
        <v>20</v>
      </c>
      <c r="M424">
        <v>14.57</v>
      </c>
      <c r="N424">
        <v>8241</v>
      </c>
      <c r="O424">
        <v>21</v>
      </c>
      <c r="P424" t="str">
        <f>IF('Funding Insights'!$D$5="Industry",Table_startup_data_13[[#This Row],[Industry]],Table_startup_data_13[[#This Row],[Region]])</f>
        <v>E-Commerce</v>
      </c>
    </row>
    <row r="425" spans="1:16" x14ac:dyDescent="0.25">
      <c r="A425" t="s">
        <v>361</v>
      </c>
      <c r="B425" t="s">
        <v>27</v>
      </c>
      <c r="C425">
        <v>4</v>
      </c>
      <c r="D425">
        <v>159340000</v>
      </c>
      <c r="E425">
        <v>953330000</v>
      </c>
      <c r="F425">
        <v>78940000</v>
      </c>
      <c r="G425">
        <v>4984</v>
      </c>
      <c r="H425">
        <v>2.0899999999999998E-2</v>
      </c>
      <c r="I425" t="b">
        <v>0</v>
      </c>
      <c r="J425">
        <v>2006</v>
      </c>
      <c r="K425" t="s">
        <v>25</v>
      </c>
      <c r="L425" t="s">
        <v>20</v>
      </c>
      <c r="M425">
        <v>5.98</v>
      </c>
      <c r="N425">
        <v>15839</v>
      </c>
      <c r="O425">
        <v>19</v>
      </c>
      <c r="P425" t="str">
        <f>IF('Funding Insights'!$D$5="Industry",Table_startup_data_13[[#This Row],[Industry]],Table_startup_data_13[[#This Row],[Region]])</f>
        <v>HealthTech</v>
      </c>
    </row>
    <row r="426" spans="1:16" x14ac:dyDescent="0.25">
      <c r="A426" t="s">
        <v>373</v>
      </c>
      <c r="B426" t="s">
        <v>10</v>
      </c>
      <c r="C426">
        <v>4</v>
      </c>
      <c r="D426">
        <v>167740000</v>
      </c>
      <c r="E426">
        <v>633290000</v>
      </c>
      <c r="F426">
        <v>2610000</v>
      </c>
      <c r="G426">
        <v>3763</v>
      </c>
      <c r="H426">
        <v>5.21E-2</v>
      </c>
      <c r="I426" t="b">
        <v>1</v>
      </c>
      <c r="J426">
        <v>2021</v>
      </c>
      <c r="K426" t="s">
        <v>38</v>
      </c>
      <c r="L426" t="s">
        <v>20</v>
      </c>
      <c r="M426">
        <v>3.78</v>
      </c>
      <c r="N426">
        <v>694</v>
      </c>
      <c r="O426">
        <v>4</v>
      </c>
      <c r="P426" t="str">
        <f>IF('Funding Insights'!$D$5="Industry",Table_startup_data_13[[#This Row],[Industry]],Table_startup_data_13[[#This Row],[Region]])</f>
        <v>IoT</v>
      </c>
    </row>
    <row r="427" spans="1:16" x14ac:dyDescent="0.25">
      <c r="A427" t="s">
        <v>377</v>
      </c>
      <c r="B427" t="s">
        <v>14</v>
      </c>
      <c r="C427">
        <v>5</v>
      </c>
      <c r="D427">
        <v>98110000</v>
      </c>
      <c r="E427">
        <v>1054980000</v>
      </c>
      <c r="F427">
        <v>46500000</v>
      </c>
      <c r="G427">
        <v>2750</v>
      </c>
      <c r="H427">
        <v>7.2300000000000003E-2</v>
      </c>
      <c r="I427" t="b">
        <v>1</v>
      </c>
      <c r="J427">
        <v>1998</v>
      </c>
      <c r="K427" t="s">
        <v>15</v>
      </c>
      <c r="L427" t="s">
        <v>20</v>
      </c>
      <c r="M427">
        <v>10.75</v>
      </c>
      <c r="N427">
        <v>16909</v>
      </c>
      <c r="O427">
        <v>27</v>
      </c>
      <c r="P427" t="str">
        <f>IF('Funding Insights'!$D$5="Industry",Table_startup_data_13[[#This Row],[Industry]],Table_startup_data_13[[#This Row],[Region]])</f>
        <v>EdTech</v>
      </c>
    </row>
    <row r="428" spans="1:16" x14ac:dyDescent="0.25">
      <c r="A428" t="s">
        <v>381</v>
      </c>
      <c r="B428" t="s">
        <v>27</v>
      </c>
      <c r="C428">
        <v>2</v>
      </c>
      <c r="D428">
        <v>45300000</v>
      </c>
      <c r="E428">
        <v>205050000</v>
      </c>
      <c r="F428">
        <v>17140000</v>
      </c>
      <c r="G428">
        <v>2797</v>
      </c>
      <c r="H428">
        <v>1.8E-3</v>
      </c>
      <c r="I428" t="b">
        <v>1</v>
      </c>
      <c r="J428">
        <v>2020</v>
      </c>
      <c r="K428" t="s">
        <v>11</v>
      </c>
      <c r="L428" t="s">
        <v>20</v>
      </c>
      <c r="M428">
        <v>4.53</v>
      </c>
      <c r="N428">
        <v>6128</v>
      </c>
      <c r="O428">
        <v>5</v>
      </c>
      <c r="P428" t="str">
        <f>IF('Funding Insights'!$D$5="Industry",Table_startup_data_13[[#This Row],[Industry]],Table_startup_data_13[[#This Row],[Region]])</f>
        <v>HealthTech</v>
      </c>
    </row>
    <row r="429" spans="1:16" x14ac:dyDescent="0.25">
      <c r="A429" t="s">
        <v>388</v>
      </c>
      <c r="B429" t="s">
        <v>31</v>
      </c>
      <c r="C429">
        <v>1</v>
      </c>
      <c r="D429">
        <v>227240000</v>
      </c>
      <c r="E429">
        <v>1751730000</v>
      </c>
      <c r="F429">
        <v>23500000</v>
      </c>
      <c r="G429">
        <v>4030</v>
      </c>
      <c r="H429">
        <v>8.7400000000000005E-2</v>
      </c>
      <c r="I429" t="b">
        <v>0</v>
      </c>
      <c r="J429">
        <v>1990</v>
      </c>
      <c r="K429" t="s">
        <v>11</v>
      </c>
      <c r="L429" t="s">
        <v>20</v>
      </c>
      <c r="M429">
        <v>7.71</v>
      </c>
      <c r="N429">
        <v>5831</v>
      </c>
      <c r="O429">
        <v>35</v>
      </c>
      <c r="P429" t="str">
        <f>IF('Funding Insights'!$D$5="Industry",Table_startup_data_13[[#This Row],[Industry]],Table_startup_data_13[[#This Row],[Region]])</f>
        <v>FinTech</v>
      </c>
    </row>
    <row r="430" spans="1:16" x14ac:dyDescent="0.25">
      <c r="A430" t="s">
        <v>389</v>
      </c>
      <c r="B430" t="s">
        <v>72</v>
      </c>
      <c r="C430">
        <v>4</v>
      </c>
      <c r="D430">
        <v>285820000</v>
      </c>
      <c r="E430">
        <v>4137150000</v>
      </c>
      <c r="F430">
        <v>78700000</v>
      </c>
      <c r="G430">
        <v>2571</v>
      </c>
      <c r="H430">
        <v>8.3000000000000004E-2</v>
      </c>
      <c r="I430" t="b">
        <v>1</v>
      </c>
      <c r="J430">
        <v>2009</v>
      </c>
      <c r="K430" t="s">
        <v>38</v>
      </c>
      <c r="L430" t="s">
        <v>20</v>
      </c>
      <c r="M430">
        <v>14.47</v>
      </c>
      <c r="N430">
        <v>30611</v>
      </c>
      <c r="O430">
        <v>16</v>
      </c>
      <c r="P430" t="str">
        <f>IF('Funding Insights'!$D$5="Industry",Table_startup_data_13[[#This Row],[Industry]],Table_startup_data_13[[#This Row],[Region]])</f>
        <v>E-Commerce</v>
      </c>
    </row>
    <row r="431" spans="1:16" x14ac:dyDescent="0.25">
      <c r="A431" t="s">
        <v>392</v>
      </c>
      <c r="B431" t="s">
        <v>36</v>
      </c>
      <c r="C431">
        <v>4</v>
      </c>
      <c r="D431">
        <v>224870000</v>
      </c>
      <c r="E431">
        <v>2452050000</v>
      </c>
      <c r="F431">
        <v>27230000</v>
      </c>
      <c r="G431">
        <v>3714</v>
      </c>
      <c r="H431">
        <v>7.8799999999999995E-2</v>
      </c>
      <c r="I431" t="b">
        <v>0</v>
      </c>
      <c r="J431">
        <v>2000</v>
      </c>
      <c r="K431" t="s">
        <v>15</v>
      </c>
      <c r="L431" t="s">
        <v>20</v>
      </c>
      <c r="M431">
        <v>10.9</v>
      </c>
      <c r="N431">
        <v>7332</v>
      </c>
      <c r="O431">
        <v>25</v>
      </c>
      <c r="P431" t="str">
        <f>IF('Funding Insights'!$D$5="Industry",Table_startup_data_13[[#This Row],[Industry]],Table_startup_data_13[[#This Row],[Region]])</f>
        <v>Cybersecurity</v>
      </c>
    </row>
    <row r="432" spans="1:16" x14ac:dyDescent="0.25">
      <c r="A432" t="s">
        <v>395</v>
      </c>
      <c r="B432" t="s">
        <v>14</v>
      </c>
      <c r="C432">
        <v>5</v>
      </c>
      <c r="D432">
        <v>171490000</v>
      </c>
      <c r="E432">
        <v>671730000</v>
      </c>
      <c r="F432">
        <v>26970000</v>
      </c>
      <c r="G432">
        <v>977</v>
      </c>
      <c r="H432">
        <v>2.7900000000000001E-2</v>
      </c>
      <c r="I432" t="b">
        <v>0</v>
      </c>
      <c r="J432">
        <v>2018</v>
      </c>
      <c r="K432" t="s">
        <v>38</v>
      </c>
      <c r="L432" t="s">
        <v>20</v>
      </c>
      <c r="M432">
        <v>3.92</v>
      </c>
      <c r="N432">
        <v>27605</v>
      </c>
      <c r="O432">
        <v>7</v>
      </c>
      <c r="P432" t="str">
        <f>IF('Funding Insights'!$D$5="Industry",Table_startup_data_13[[#This Row],[Industry]],Table_startup_data_13[[#This Row],[Region]])</f>
        <v>EdTech</v>
      </c>
    </row>
    <row r="433" spans="1:16" x14ac:dyDescent="0.25">
      <c r="A433" t="s">
        <v>397</v>
      </c>
      <c r="B433" t="s">
        <v>31</v>
      </c>
      <c r="C433">
        <v>2</v>
      </c>
      <c r="D433">
        <v>144970000</v>
      </c>
      <c r="E433">
        <v>2053330000</v>
      </c>
      <c r="F433">
        <v>89160000</v>
      </c>
      <c r="G433">
        <v>4407</v>
      </c>
      <c r="H433">
        <v>3.2500000000000001E-2</v>
      </c>
      <c r="I433" t="b">
        <v>0</v>
      </c>
      <c r="J433">
        <v>2005</v>
      </c>
      <c r="K433" t="s">
        <v>38</v>
      </c>
      <c r="L433" t="s">
        <v>20</v>
      </c>
      <c r="M433">
        <v>14.16</v>
      </c>
      <c r="N433">
        <v>20231</v>
      </c>
      <c r="O433">
        <v>20</v>
      </c>
      <c r="P433" t="str">
        <f>IF('Funding Insights'!$D$5="Industry",Table_startup_data_13[[#This Row],[Industry]],Table_startup_data_13[[#This Row],[Region]])</f>
        <v>FinTech</v>
      </c>
    </row>
    <row r="434" spans="1:16" x14ac:dyDescent="0.25">
      <c r="A434" t="s">
        <v>398</v>
      </c>
      <c r="B434" t="s">
        <v>22</v>
      </c>
      <c r="C434">
        <v>1</v>
      </c>
      <c r="D434">
        <v>63500000</v>
      </c>
      <c r="E434">
        <v>383330000</v>
      </c>
      <c r="F434">
        <v>390000</v>
      </c>
      <c r="G434">
        <v>4557</v>
      </c>
      <c r="H434">
        <v>9.0499999999999997E-2</v>
      </c>
      <c r="I434" t="b">
        <v>1</v>
      </c>
      <c r="J434">
        <v>2009</v>
      </c>
      <c r="K434" t="s">
        <v>29</v>
      </c>
      <c r="L434" t="s">
        <v>20</v>
      </c>
      <c r="M434">
        <v>6.04</v>
      </c>
      <c r="N434">
        <v>86</v>
      </c>
      <c r="O434">
        <v>16</v>
      </c>
      <c r="P434" t="str">
        <f>IF('Funding Insights'!$D$5="Industry",Table_startup_data_13[[#This Row],[Industry]],Table_startup_data_13[[#This Row],[Region]])</f>
        <v>AI</v>
      </c>
    </row>
    <row r="435" spans="1:16" x14ac:dyDescent="0.25">
      <c r="A435" t="s">
        <v>399</v>
      </c>
      <c r="B435" t="s">
        <v>31</v>
      </c>
      <c r="C435">
        <v>4</v>
      </c>
      <c r="D435">
        <v>104130000</v>
      </c>
      <c r="E435">
        <v>1288510000</v>
      </c>
      <c r="F435">
        <v>4070000</v>
      </c>
      <c r="G435">
        <v>2212</v>
      </c>
      <c r="H435">
        <v>8.6999999999999994E-3</v>
      </c>
      <c r="I435" t="b">
        <v>0</v>
      </c>
      <c r="J435">
        <v>1992</v>
      </c>
      <c r="K435" t="s">
        <v>15</v>
      </c>
      <c r="L435" t="s">
        <v>20</v>
      </c>
      <c r="M435">
        <v>12.37</v>
      </c>
      <c r="N435">
        <v>1840</v>
      </c>
      <c r="O435">
        <v>33</v>
      </c>
      <c r="P435" t="str">
        <f>IF('Funding Insights'!$D$5="Industry",Table_startup_data_13[[#This Row],[Industry]],Table_startup_data_13[[#This Row],[Region]])</f>
        <v>FinTech</v>
      </c>
    </row>
    <row r="436" spans="1:16" x14ac:dyDescent="0.25">
      <c r="A436" t="s">
        <v>401</v>
      </c>
      <c r="B436" t="s">
        <v>31</v>
      </c>
      <c r="C436">
        <v>1</v>
      </c>
      <c r="D436">
        <v>282400000</v>
      </c>
      <c r="E436">
        <v>2526190000</v>
      </c>
      <c r="F436">
        <v>90750000</v>
      </c>
      <c r="G436">
        <v>4325</v>
      </c>
      <c r="H436">
        <v>3.5499999999999997E-2</v>
      </c>
      <c r="I436" t="b">
        <v>0</v>
      </c>
      <c r="J436">
        <v>1990</v>
      </c>
      <c r="K436" t="s">
        <v>15</v>
      </c>
      <c r="L436" t="s">
        <v>20</v>
      </c>
      <c r="M436">
        <v>8.9499999999999993</v>
      </c>
      <c r="N436">
        <v>20983</v>
      </c>
      <c r="O436">
        <v>35</v>
      </c>
      <c r="P436" t="str">
        <f>IF('Funding Insights'!$D$5="Industry",Table_startup_data_13[[#This Row],[Industry]],Table_startup_data_13[[#This Row],[Region]])</f>
        <v>FinTech</v>
      </c>
    </row>
    <row r="437" spans="1:16" x14ac:dyDescent="0.25">
      <c r="A437" t="s">
        <v>402</v>
      </c>
      <c r="B437" t="s">
        <v>31</v>
      </c>
      <c r="C437">
        <v>3</v>
      </c>
      <c r="D437">
        <v>22190000</v>
      </c>
      <c r="E437">
        <v>169450000</v>
      </c>
      <c r="F437">
        <v>23960000</v>
      </c>
      <c r="G437">
        <v>3035</v>
      </c>
      <c r="H437">
        <v>5.2600000000000001E-2</v>
      </c>
      <c r="I437" t="b">
        <v>0</v>
      </c>
      <c r="J437">
        <v>2006</v>
      </c>
      <c r="K437" t="s">
        <v>38</v>
      </c>
      <c r="L437" t="s">
        <v>20</v>
      </c>
      <c r="M437">
        <v>7.64</v>
      </c>
      <c r="N437">
        <v>7895</v>
      </c>
      <c r="O437">
        <v>19</v>
      </c>
      <c r="P437" t="str">
        <f>IF('Funding Insights'!$D$5="Industry",Table_startup_data_13[[#This Row],[Industry]],Table_startup_data_13[[#This Row],[Region]])</f>
        <v>FinTech</v>
      </c>
    </row>
    <row r="438" spans="1:16" x14ac:dyDescent="0.25">
      <c r="A438" t="s">
        <v>407</v>
      </c>
      <c r="B438" t="s">
        <v>27</v>
      </c>
      <c r="C438">
        <v>5</v>
      </c>
      <c r="D438">
        <v>107660000</v>
      </c>
      <c r="E438">
        <v>1463050000</v>
      </c>
      <c r="F438">
        <v>47030000</v>
      </c>
      <c r="G438">
        <v>4716</v>
      </c>
      <c r="H438">
        <v>4.2000000000000003E-2</v>
      </c>
      <c r="I438" t="b">
        <v>1</v>
      </c>
      <c r="J438">
        <v>1997</v>
      </c>
      <c r="K438" t="s">
        <v>29</v>
      </c>
      <c r="L438" t="s">
        <v>20</v>
      </c>
      <c r="M438">
        <v>13.59</v>
      </c>
      <c r="N438">
        <v>9972</v>
      </c>
      <c r="O438">
        <v>28</v>
      </c>
      <c r="P438" t="str">
        <f>IF('Funding Insights'!$D$5="Industry",Table_startup_data_13[[#This Row],[Industry]],Table_startup_data_13[[#This Row],[Region]])</f>
        <v>HealthTech</v>
      </c>
    </row>
    <row r="439" spans="1:16" x14ac:dyDescent="0.25">
      <c r="A439" t="s">
        <v>413</v>
      </c>
      <c r="B439" t="s">
        <v>72</v>
      </c>
      <c r="C439">
        <v>3</v>
      </c>
      <c r="D439">
        <v>12830000</v>
      </c>
      <c r="E439">
        <v>153380000</v>
      </c>
      <c r="F439">
        <v>5040000</v>
      </c>
      <c r="G439">
        <v>3281</v>
      </c>
      <c r="H439">
        <v>3.9100000000000003E-2</v>
      </c>
      <c r="I439" t="b">
        <v>0</v>
      </c>
      <c r="J439">
        <v>2001</v>
      </c>
      <c r="K439" t="s">
        <v>38</v>
      </c>
      <c r="L439" t="s">
        <v>20</v>
      </c>
      <c r="M439">
        <v>11.95</v>
      </c>
      <c r="N439">
        <v>1536</v>
      </c>
      <c r="O439">
        <v>24</v>
      </c>
      <c r="P439" t="str">
        <f>IF('Funding Insights'!$D$5="Industry",Table_startup_data_13[[#This Row],[Industry]],Table_startup_data_13[[#This Row],[Region]])</f>
        <v>E-Commerce</v>
      </c>
    </row>
    <row r="440" spans="1:16" x14ac:dyDescent="0.25">
      <c r="A440" t="s">
        <v>415</v>
      </c>
      <c r="B440" t="s">
        <v>10</v>
      </c>
      <c r="C440">
        <v>1</v>
      </c>
      <c r="D440">
        <v>285490000</v>
      </c>
      <c r="E440">
        <v>3604470000</v>
      </c>
      <c r="F440">
        <v>84410000</v>
      </c>
      <c r="G440">
        <v>1246</v>
      </c>
      <c r="H440">
        <v>4.3499999999999997E-2</v>
      </c>
      <c r="I440" t="b">
        <v>0</v>
      </c>
      <c r="J440">
        <v>2009</v>
      </c>
      <c r="K440" t="s">
        <v>29</v>
      </c>
      <c r="L440" t="s">
        <v>20</v>
      </c>
      <c r="M440">
        <v>12.63</v>
      </c>
      <c r="N440">
        <v>67745</v>
      </c>
      <c r="O440">
        <v>16</v>
      </c>
      <c r="P440" t="str">
        <f>IF('Funding Insights'!$D$5="Industry",Table_startup_data_13[[#This Row],[Industry]],Table_startup_data_13[[#This Row],[Region]])</f>
        <v>IoT</v>
      </c>
    </row>
    <row r="441" spans="1:16" x14ac:dyDescent="0.25">
      <c r="A441" t="s">
        <v>430</v>
      </c>
      <c r="B441" t="s">
        <v>31</v>
      </c>
      <c r="C441">
        <v>2</v>
      </c>
      <c r="D441">
        <v>179440000</v>
      </c>
      <c r="E441">
        <v>1451950000</v>
      </c>
      <c r="F441">
        <v>67570000</v>
      </c>
      <c r="G441">
        <v>2414</v>
      </c>
      <c r="H441">
        <v>2.1999999999999999E-2</v>
      </c>
      <c r="I441" t="b">
        <v>0</v>
      </c>
      <c r="J441">
        <v>2012</v>
      </c>
      <c r="K441" t="s">
        <v>11</v>
      </c>
      <c r="L441" t="s">
        <v>20</v>
      </c>
      <c r="M441">
        <v>8.09</v>
      </c>
      <c r="N441">
        <v>27991</v>
      </c>
      <c r="O441">
        <v>13</v>
      </c>
      <c r="P441" t="str">
        <f>IF('Funding Insights'!$D$5="Industry",Table_startup_data_13[[#This Row],[Industry]],Table_startup_data_13[[#This Row],[Region]])</f>
        <v>FinTech</v>
      </c>
    </row>
    <row r="442" spans="1:16" x14ac:dyDescent="0.25">
      <c r="A442" t="s">
        <v>440</v>
      </c>
      <c r="B442" t="s">
        <v>36</v>
      </c>
      <c r="C442">
        <v>1</v>
      </c>
      <c r="D442">
        <v>184910000</v>
      </c>
      <c r="E442">
        <v>1133230000</v>
      </c>
      <c r="F442">
        <v>67490000</v>
      </c>
      <c r="G442">
        <v>3178</v>
      </c>
      <c r="H442">
        <v>7.5600000000000001E-2</v>
      </c>
      <c r="I442" t="b">
        <v>0</v>
      </c>
      <c r="J442">
        <v>2000</v>
      </c>
      <c r="K442" t="s">
        <v>15</v>
      </c>
      <c r="L442" t="s">
        <v>20</v>
      </c>
      <c r="M442">
        <v>6.13</v>
      </c>
      <c r="N442">
        <v>21237</v>
      </c>
      <c r="O442">
        <v>25</v>
      </c>
      <c r="P442" t="str">
        <f>IF('Funding Insights'!$D$5="Industry",Table_startup_data_13[[#This Row],[Industry]],Table_startup_data_13[[#This Row],[Region]])</f>
        <v>Cybersecurity</v>
      </c>
    </row>
    <row r="443" spans="1:16" x14ac:dyDescent="0.25">
      <c r="A443" t="s">
        <v>441</v>
      </c>
      <c r="B443" t="s">
        <v>31</v>
      </c>
      <c r="C443">
        <v>4</v>
      </c>
      <c r="D443">
        <v>99040000</v>
      </c>
      <c r="E443">
        <v>379430000</v>
      </c>
      <c r="F443">
        <v>29740000</v>
      </c>
      <c r="G443">
        <v>220</v>
      </c>
      <c r="H443">
        <v>8.7300000000000003E-2</v>
      </c>
      <c r="I443" t="b">
        <v>0</v>
      </c>
      <c r="J443">
        <v>2015</v>
      </c>
      <c r="K443" t="s">
        <v>38</v>
      </c>
      <c r="L443" t="s">
        <v>20</v>
      </c>
      <c r="M443">
        <v>3.83</v>
      </c>
      <c r="N443">
        <v>135182</v>
      </c>
      <c r="O443">
        <v>10</v>
      </c>
      <c r="P443" t="str">
        <f>IF('Funding Insights'!$D$5="Industry",Table_startup_data_13[[#This Row],[Industry]],Table_startup_data_13[[#This Row],[Region]])</f>
        <v>FinTech</v>
      </c>
    </row>
    <row r="444" spans="1:16" x14ac:dyDescent="0.25">
      <c r="A444" t="s">
        <v>445</v>
      </c>
      <c r="B444" t="s">
        <v>14</v>
      </c>
      <c r="C444">
        <v>5</v>
      </c>
      <c r="D444">
        <v>130380000</v>
      </c>
      <c r="E444">
        <v>895270000</v>
      </c>
      <c r="F444">
        <v>86300000</v>
      </c>
      <c r="G444">
        <v>163</v>
      </c>
      <c r="H444">
        <v>2.12E-2</v>
      </c>
      <c r="I444" t="b">
        <v>1</v>
      </c>
      <c r="J444">
        <v>1995</v>
      </c>
      <c r="K444" t="s">
        <v>25</v>
      </c>
      <c r="L444" t="s">
        <v>20</v>
      </c>
      <c r="M444">
        <v>6.87</v>
      </c>
      <c r="N444">
        <v>529448</v>
      </c>
      <c r="O444">
        <v>30</v>
      </c>
      <c r="P444" t="str">
        <f>IF('Funding Insights'!$D$5="Industry",Table_startup_data_13[[#This Row],[Industry]],Table_startup_data_13[[#This Row],[Region]])</f>
        <v>EdTech</v>
      </c>
    </row>
    <row r="445" spans="1:16" x14ac:dyDescent="0.25">
      <c r="A445" t="s">
        <v>449</v>
      </c>
      <c r="B445" t="s">
        <v>22</v>
      </c>
      <c r="C445">
        <v>2</v>
      </c>
      <c r="D445">
        <v>196150000</v>
      </c>
      <c r="E445">
        <v>1732430000</v>
      </c>
      <c r="F445">
        <v>4150000</v>
      </c>
      <c r="G445">
        <v>1781</v>
      </c>
      <c r="H445">
        <v>3.2000000000000002E-3</v>
      </c>
      <c r="I445" t="b">
        <v>0</v>
      </c>
      <c r="J445">
        <v>1996</v>
      </c>
      <c r="K445" t="s">
        <v>38</v>
      </c>
      <c r="L445" t="s">
        <v>20</v>
      </c>
      <c r="M445">
        <v>8.83</v>
      </c>
      <c r="N445">
        <v>2330</v>
      </c>
      <c r="O445">
        <v>29</v>
      </c>
      <c r="P445" t="str">
        <f>IF('Funding Insights'!$D$5="Industry",Table_startup_data_13[[#This Row],[Industry]],Table_startup_data_13[[#This Row],[Region]])</f>
        <v>AI</v>
      </c>
    </row>
    <row r="446" spans="1:16" x14ac:dyDescent="0.25">
      <c r="A446" t="s">
        <v>457</v>
      </c>
      <c r="B446" t="s">
        <v>22</v>
      </c>
      <c r="C446">
        <v>4</v>
      </c>
      <c r="D446">
        <v>61470000</v>
      </c>
      <c r="E446">
        <v>254490000</v>
      </c>
      <c r="F446">
        <v>55000000</v>
      </c>
      <c r="G446">
        <v>2788</v>
      </c>
      <c r="H446">
        <v>1.23E-2</v>
      </c>
      <c r="I446" t="b">
        <v>1</v>
      </c>
      <c r="J446">
        <v>2005</v>
      </c>
      <c r="K446" t="s">
        <v>38</v>
      </c>
      <c r="L446" t="s">
        <v>20</v>
      </c>
      <c r="M446">
        <v>4.1399999999999997</v>
      </c>
      <c r="N446">
        <v>19727</v>
      </c>
      <c r="O446">
        <v>20</v>
      </c>
      <c r="P446" t="str">
        <f>IF('Funding Insights'!$D$5="Industry",Table_startup_data_13[[#This Row],[Industry]],Table_startup_data_13[[#This Row],[Region]])</f>
        <v>AI</v>
      </c>
    </row>
    <row r="447" spans="1:16" x14ac:dyDescent="0.25">
      <c r="A447" t="s">
        <v>464</v>
      </c>
      <c r="B447" t="s">
        <v>31</v>
      </c>
      <c r="C447">
        <v>3</v>
      </c>
      <c r="D447">
        <v>220740000</v>
      </c>
      <c r="E447">
        <v>2452820000</v>
      </c>
      <c r="F447">
        <v>64680000</v>
      </c>
      <c r="G447">
        <v>3299</v>
      </c>
      <c r="H447">
        <v>8.5900000000000004E-2</v>
      </c>
      <c r="I447" t="b">
        <v>1</v>
      </c>
      <c r="J447">
        <v>2000</v>
      </c>
      <c r="K447" t="s">
        <v>29</v>
      </c>
      <c r="L447" t="s">
        <v>20</v>
      </c>
      <c r="M447">
        <v>11.11</v>
      </c>
      <c r="N447">
        <v>19606</v>
      </c>
      <c r="O447">
        <v>25</v>
      </c>
      <c r="P447" t="str">
        <f>IF('Funding Insights'!$D$5="Industry",Table_startup_data_13[[#This Row],[Industry]],Table_startup_data_13[[#This Row],[Region]])</f>
        <v>FinTech</v>
      </c>
    </row>
    <row r="448" spans="1:16" x14ac:dyDescent="0.25">
      <c r="A448" t="s">
        <v>469</v>
      </c>
      <c r="B448" t="s">
        <v>14</v>
      </c>
      <c r="C448">
        <v>3</v>
      </c>
      <c r="D448">
        <v>176620000</v>
      </c>
      <c r="E448">
        <v>1201560000</v>
      </c>
      <c r="F448">
        <v>11660000</v>
      </c>
      <c r="G448">
        <v>497</v>
      </c>
      <c r="H448">
        <v>7.17E-2</v>
      </c>
      <c r="I448" t="b">
        <v>0</v>
      </c>
      <c r="J448">
        <v>2015</v>
      </c>
      <c r="K448" t="s">
        <v>38</v>
      </c>
      <c r="L448" t="s">
        <v>20</v>
      </c>
      <c r="M448">
        <v>6.8</v>
      </c>
      <c r="N448">
        <v>23461</v>
      </c>
      <c r="O448">
        <v>10</v>
      </c>
      <c r="P448" t="str">
        <f>IF('Funding Insights'!$D$5="Industry",Table_startup_data_13[[#This Row],[Industry]],Table_startup_data_13[[#This Row],[Region]])</f>
        <v>EdTech</v>
      </c>
    </row>
    <row r="449" spans="1:16" x14ac:dyDescent="0.25">
      <c r="A449" t="s">
        <v>472</v>
      </c>
      <c r="B449" t="s">
        <v>18</v>
      </c>
      <c r="C449">
        <v>3</v>
      </c>
      <c r="D449">
        <v>182050000</v>
      </c>
      <c r="E449">
        <v>1734610000</v>
      </c>
      <c r="F449">
        <v>63820000</v>
      </c>
      <c r="G449">
        <v>3237</v>
      </c>
      <c r="H449">
        <v>7.0000000000000007E-2</v>
      </c>
      <c r="I449" t="b">
        <v>0</v>
      </c>
      <c r="J449">
        <v>2008</v>
      </c>
      <c r="K449" t="s">
        <v>15</v>
      </c>
      <c r="L449" t="s">
        <v>20</v>
      </c>
      <c r="M449">
        <v>9.5299999999999994</v>
      </c>
      <c r="N449">
        <v>19716</v>
      </c>
      <c r="O449">
        <v>17</v>
      </c>
      <c r="P449" t="str">
        <f>IF('Funding Insights'!$D$5="Industry",Table_startup_data_13[[#This Row],[Industry]],Table_startup_data_13[[#This Row],[Region]])</f>
        <v>Gaming</v>
      </c>
    </row>
    <row r="450" spans="1:16" x14ac:dyDescent="0.25">
      <c r="A450" t="s">
        <v>475</v>
      </c>
      <c r="B450" t="s">
        <v>27</v>
      </c>
      <c r="C450">
        <v>4</v>
      </c>
      <c r="D450">
        <v>196680000</v>
      </c>
      <c r="E450">
        <v>2899210000</v>
      </c>
      <c r="F450">
        <v>82920000</v>
      </c>
      <c r="G450">
        <v>1551</v>
      </c>
      <c r="H450">
        <v>8.7499999999999994E-2</v>
      </c>
      <c r="I450" t="b">
        <v>0</v>
      </c>
      <c r="J450">
        <v>2003</v>
      </c>
      <c r="K450" t="s">
        <v>29</v>
      </c>
      <c r="L450" t="s">
        <v>20</v>
      </c>
      <c r="M450">
        <v>14.74</v>
      </c>
      <c r="N450">
        <v>53462</v>
      </c>
      <c r="O450">
        <v>22</v>
      </c>
      <c r="P450" t="str">
        <f>IF('Funding Insights'!$D$5="Industry",Table_startup_data_13[[#This Row],[Industry]],Table_startup_data_13[[#This Row],[Region]])</f>
        <v>HealthTech</v>
      </c>
    </row>
    <row r="451" spans="1:16" x14ac:dyDescent="0.25">
      <c r="A451" t="s">
        <v>480</v>
      </c>
      <c r="B451" t="s">
        <v>27</v>
      </c>
      <c r="C451">
        <v>1</v>
      </c>
      <c r="D451">
        <v>140010000</v>
      </c>
      <c r="E451">
        <v>957770000</v>
      </c>
      <c r="F451">
        <v>44940000</v>
      </c>
      <c r="G451">
        <v>4680</v>
      </c>
      <c r="H451">
        <v>5.1499999999999997E-2</v>
      </c>
      <c r="I451" t="b">
        <v>0</v>
      </c>
      <c r="J451">
        <v>2005</v>
      </c>
      <c r="K451" t="s">
        <v>11</v>
      </c>
      <c r="L451" t="s">
        <v>20</v>
      </c>
      <c r="M451">
        <v>6.84</v>
      </c>
      <c r="N451">
        <v>9603</v>
      </c>
      <c r="O451">
        <v>20</v>
      </c>
      <c r="P451" t="str">
        <f>IF('Funding Insights'!$D$5="Industry",Table_startup_data_13[[#This Row],[Industry]],Table_startup_data_13[[#This Row],[Region]])</f>
        <v>HealthTech</v>
      </c>
    </row>
    <row r="452" spans="1:16" x14ac:dyDescent="0.25">
      <c r="A452" t="s">
        <v>481</v>
      </c>
      <c r="B452" t="s">
        <v>72</v>
      </c>
      <c r="C452">
        <v>5</v>
      </c>
      <c r="D452">
        <v>250880000</v>
      </c>
      <c r="E452">
        <v>3020160000</v>
      </c>
      <c r="F452">
        <v>8530000</v>
      </c>
      <c r="G452">
        <v>1895</v>
      </c>
      <c r="H452">
        <v>8.2199999999999995E-2</v>
      </c>
      <c r="I452" t="b">
        <v>1</v>
      </c>
      <c r="J452">
        <v>2019</v>
      </c>
      <c r="K452" t="s">
        <v>38</v>
      </c>
      <c r="L452" t="s">
        <v>20</v>
      </c>
      <c r="M452">
        <v>12.04</v>
      </c>
      <c r="N452">
        <v>4501</v>
      </c>
      <c r="O452">
        <v>6</v>
      </c>
      <c r="P452" t="str">
        <f>IF('Funding Insights'!$D$5="Industry",Table_startup_data_13[[#This Row],[Industry]],Table_startup_data_13[[#This Row],[Region]])</f>
        <v>E-Commerce</v>
      </c>
    </row>
    <row r="453" spans="1:16" x14ac:dyDescent="0.25">
      <c r="A453" t="s">
        <v>485</v>
      </c>
      <c r="B453" t="s">
        <v>22</v>
      </c>
      <c r="C453">
        <v>3</v>
      </c>
      <c r="D453">
        <v>180760000</v>
      </c>
      <c r="E453">
        <v>776420000</v>
      </c>
      <c r="F453">
        <v>21680000</v>
      </c>
      <c r="G453">
        <v>361</v>
      </c>
      <c r="H453">
        <v>4.1599999999999998E-2</v>
      </c>
      <c r="I453" t="b">
        <v>0</v>
      </c>
      <c r="J453">
        <v>2012</v>
      </c>
      <c r="K453" t="s">
        <v>25</v>
      </c>
      <c r="L453" t="s">
        <v>20</v>
      </c>
      <c r="M453">
        <v>4.3</v>
      </c>
      <c r="N453">
        <v>60055</v>
      </c>
      <c r="O453">
        <v>13</v>
      </c>
      <c r="P453" t="str">
        <f>IF('Funding Insights'!$D$5="Industry",Table_startup_data_13[[#This Row],[Industry]],Table_startup_data_13[[#This Row],[Region]])</f>
        <v>AI</v>
      </c>
    </row>
    <row r="454" spans="1:16" x14ac:dyDescent="0.25">
      <c r="A454" t="s">
        <v>490</v>
      </c>
      <c r="B454" t="s">
        <v>22</v>
      </c>
      <c r="C454">
        <v>2</v>
      </c>
      <c r="D454">
        <v>21210000</v>
      </c>
      <c r="E454">
        <v>101980000</v>
      </c>
      <c r="F454">
        <v>85200000</v>
      </c>
      <c r="G454">
        <v>624</v>
      </c>
      <c r="H454">
        <v>5.1999999999999998E-3</v>
      </c>
      <c r="I454" t="b">
        <v>0</v>
      </c>
      <c r="J454">
        <v>2007</v>
      </c>
      <c r="K454" t="s">
        <v>29</v>
      </c>
      <c r="L454" t="s">
        <v>20</v>
      </c>
      <c r="M454">
        <v>4.8099999999999996</v>
      </c>
      <c r="N454">
        <v>136538</v>
      </c>
      <c r="O454">
        <v>18</v>
      </c>
      <c r="P454" t="str">
        <f>IF('Funding Insights'!$D$5="Industry",Table_startup_data_13[[#This Row],[Industry]],Table_startup_data_13[[#This Row],[Region]])</f>
        <v>AI</v>
      </c>
    </row>
    <row r="455" spans="1:16" x14ac:dyDescent="0.25">
      <c r="A455" t="s">
        <v>505</v>
      </c>
      <c r="B455" t="s">
        <v>72</v>
      </c>
      <c r="C455">
        <v>3</v>
      </c>
      <c r="D455">
        <v>119300000</v>
      </c>
      <c r="E455">
        <v>1419730000</v>
      </c>
      <c r="F455">
        <v>2840000</v>
      </c>
      <c r="G455">
        <v>3428</v>
      </c>
      <c r="H455">
        <v>7.3200000000000001E-2</v>
      </c>
      <c r="I455" t="b">
        <v>1</v>
      </c>
      <c r="J455">
        <v>1998</v>
      </c>
      <c r="K455" t="s">
        <v>25</v>
      </c>
      <c r="L455" t="s">
        <v>20</v>
      </c>
      <c r="M455">
        <v>11.9</v>
      </c>
      <c r="N455">
        <v>828</v>
      </c>
      <c r="O455">
        <v>27</v>
      </c>
      <c r="P455" t="str">
        <f>IF('Funding Insights'!$D$5="Industry",Table_startup_data_13[[#This Row],[Industry]],Table_startup_data_13[[#This Row],[Region]])</f>
        <v>E-Commerce</v>
      </c>
    </row>
    <row r="456" spans="1:16" x14ac:dyDescent="0.25">
      <c r="A456" t="s">
        <v>517</v>
      </c>
      <c r="B456" t="s">
        <v>31</v>
      </c>
      <c r="C456">
        <v>4</v>
      </c>
      <c r="D456">
        <v>76130000</v>
      </c>
      <c r="E456">
        <v>720520000</v>
      </c>
      <c r="F456">
        <v>770000</v>
      </c>
      <c r="G456">
        <v>1641</v>
      </c>
      <c r="H456">
        <v>6.3600000000000004E-2</v>
      </c>
      <c r="I456" t="b">
        <v>1</v>
      </c>
      <c r="J456">
        <v>1993</v>
      </c>
      <c r="K456" t="s">
        <v>38</v>
      </c>
      <c r="L456" t="s">
        <v>20</v>
      </c>
      <c r="M456">
        <v>9.4600000000000009</v>
      </c>
      <c r="N456">
        <v>469</v>
      </c>
      <c r="O456">
        <v>32</v>
      </c>
      <c r="P456" t="str">
        <f>IF('Funding Insights'!$D$5="Industry",Table_startup_data_13[[#This Row],[Industry]],Table_startup_data_13[[#This Row],[Region]])</f>
        <v>FinTech</v>
      </c>
    </row>
    <row r="457" spans="1:16" x14ac:dyDescent="0.25">
      <c r="A457" t="s">
        <v>21</v>
      </c>
      <c r="B457" t="s">
        <v>22</v>
      </c>
      <c r="C457">
        <v>5</v>
      </c>
      <c r="D457">
        <v>103890000</v>
      </c>
      <c r="E457">
        <v>1541760000</v>
      </c>
      <c r="F457">
        <v>12560000</v>
      </c>
      <c r="G457">
        <v>1462</v>
      </c>
      <c r="H457">
        <v>8.9599999999999999E-2</v>
      </c>
      <c r="I457" t="b">
        <v>1</v>
      </c>
      <c r="J457">
        <v>2004</v>
      </c>
      <c r="K457" t="s">
        <v>11</v>
      </c>
      <c r="L457" t="s">
        <v>23</v>
      </c>
      <c r="M457">
        <v>14.84</v>
      </c>
      <c r="N457">
        <v>8591</v>
      </c>
      <c r="O457">
        <v>21</v>
      </c>
      <c r="P457" t="str">
        <f>IF('Funding Insights'!$D$5="Industry",Table_startup_data_13[[#This Row],[Industry]],Table_startup_data_13[[#This Row],[Region]])</f>
        <v>AI</v>
      </c>
    </row>
    <row r="458" spans="1:16" x14ac:dyDescent="0.25">
      <c r="A458" t="s">
        <v>26</v>
      </c>
      <c r="B458" t="s">
        <v>27</v>
      </c>
      <c r="C458">
        <v>5</v>
      </c>
      <c r="D458">
        <v>109150000</v>
      </c>
      <c r="E458">
        <v>630190000</v>
      </c>
      <c r="F458">
        <v>64370000</v>
      </c>
      <c r="G458">
        <v>3420</v>
      </c>
      <c r="H458">
        <v>9.0200000000000002E-2</v>
      </c>
      <c r="I458" t="b">
        <v>1</v>
      </c>
      <c r="J458">
        <v>2002</v>
      </c>
      <c r="K458" t="s">
        <v>25</v>
      </c>
      <c r="L458" t="s">
        <v>23</v>
      </c>
      <c r="M458">
        <v>5.77</v>
      </c>
      <c r="N458">
        <v>18822</v>
      </c>
      <c r="O458">
        <v>23</v>
      </c>
      <c r="P458" t="str">
        <f>IF('Funding Insights'!$D$5="Industry",Table_startup_data_13[[#This Row],[Industry]],Table_startup_data_13[[#This Row],[Region]])</f>
        <v>HealthTech</v>
      </c>
    </row>
    <row r="459" spans="1:16" x14ac:dyDescent="0.25">
      <c r="A459" t="s">
        <v>51</v>
      </c>
      <c r="B459" t="s">
        <v>31</v>
      </c>
      <c r="C459">
        <v>2</v>
      </c>
      <c r="D459">
        <v>207520000</v>
      </c>
      <c r="E459">
        <v>935690000</v>
      </c>
      <c r="F459">
        <v>59980000</v>
      </c>
      <c r="G459">
        <v>801</v>
      </c>
      <c r="H459">
        <v>8.7900000000000006E-2</v>
      </c>
      <c r="I459" t="b">
        <v>1</v>
      </c>
      <c r="J459">
        <v>2004</v>
      </c>
      <c r="K459" t="s">
        <v>15</v>
      </c>
      <c r="L459" t="s">
        <v>23</v>
      </c>
      <c r="M459">
        <v>4.51</v>
      </c>
      <c r="N459">
        <v>74881</v>
      </c>
      <c r="O459">
        <v>21</v>
      </c>
      <c r="P459" t="str">
        <f>IF('Funding Insights'!$D$5="Industry",Table_startup_data_13[[#This Row],[Industry]],Table_startup_data_13[[#This Row],[Region]])</f>
        <v>FinTech</v>
      </c>
    </row>
    <row r="460" spans="1:16" x14ac:dyDescent="0.25">
      <c r="A460" t="s">
        <v>70</v>
      </c>
      <c r="B460" t="s">
        <v>14</v>
      </c>
      <c r="C460">
        <v>5</v>
      </c>
      <c r="D460">
        <v>251510000</v>
      </c>
      <c r="E460">
        <v>3074010000</v>
      </c>
      <c r="F460">
        <v>76680000</v>
      </c>
      <c r="G460">
        <v>3185</v>
      </c>
      <c r="H460">
        <v>8.4699999999999998E-2</v>
      </c>
      <c r="I460" t="b">
        <v>1</v>
      </c>
      <c r="J460">
        <v>1993</v>
      </c>
      <c r="K460" t="s">
        <v>11</v>
      </c>
      <c r="L460" t="s">
        <v>23</v>
      </c>
      <c r="M460">
        <v>12.22</v>
      </c>
      <c r="N460">
        <v>24075</v>
      </c>
      <c r="O460">
        <v>32</v>
      </c>
      <c r="P460" t="str">
        <f>IF('Funding Insights'!$D$5="Industry",Table_startup_data_13[[#This Row],[Industry]],Table_startup_data_13[[#This Row],[Region]])</f>
        <v>EdTech</v>
      </c>
    </row>
    <row r="461" spans="1:16" x14ac:dyDescent="0.25">
      <c r="A461" t="s">
        <v>80</v>
      </c>
      <c r="B461" t="s">
        <v>18</v>
      </c>
      <c r="C461">
        <v>3</v>
      </c>
      <c r="D461">
        <v>20940000</v>
      </c>
      <c r="E461">
        <v>150410000</v>
      </c>
      <c r="F461">
        <v>74750000</v>
      </c>
      <c r="G461">
        <v>4936</v>
      </c>
      <c r="H461">
        <v>5.9799999999999999E-2</v>
      </c>
      <c r="I461" t="b">
        <v>0</v>
      </c>
      <c r="J461">
        <v>2004</v>
      </c>
      <c r="K461" t="s">
        <v>11</v>
      </c>
      <c r="L461" t="s">
        <v>23</v>
      </c>
      <c r="M461">
        <v>7.18</v>
      </c>
      <c r="N461">
        <v>15144</v>
      </c>
      <c r="O461">
        <v>21</v>
      </c>
      <c r="P461" t="str">
        <f>IF('Funding Insights'!$D$5="Industry",Table_startup_data_13[[#This Row],[Industry]],Table_startup_data_13[[#This Row],[Region]])</f>
        <v>Gaming</v>
      </c>
    </row>
    <row r="462" spans="1:16" x14ac:dyDescent="0.25">
      <c r="A462" t="s">
        <v>86</v>
      </c>
      <c r="B462" t="s">
        <v>27</v>
      </c>
      <c r="C462">
        <v>2</v>
      </c>
      <c r="D462">
        <v>284820000</v>
      </c>
      <c r="E462">
        <v>3426140000</v>
      </c>
      <c r="F462">
        <v>16610000</v>
      </c>
      <c r="G462">
        <v>2191</v>
      </c>
      <c r="H462">
        <v>4.65E-2</v>
      </c>
      <c r="I462" t="b">
        <v>1</v>
      </c>
      <c r="J462">
        <v>2005</v>
      </c>
      <c r="K462" t="s">
        <v>38</v>
      </c>
      <c r="L462" t="s">
        <v>23</v>
      </c>
      <c r="M462">
        <v>12.03</v>
      </c>
      <c r="N462">
        <v>7581</v>
      </c>
      <c r="O462">
        <v>20</v>
      </c>
      <c r="P462" t="str">
        <f>IF('Funding Insights'!$D$5="Industry",Table_startup_data_13[[#This Row],[Industry]],Table_startup_data_13[[#This Row],[Region]])</f>
        <v>HealthTech</v>
      </c>
    </row>
    <row r="463" spans="1:16" x14ac:dyDescent="0.25">
      <c r="A463" t="s">
        <v>87</v>
      </c>
      <c r="B463" t="s">
        <v>10</v>
      </c>
      <c r="C463">
        <v>4</v>
      </c>
      <c r="D463">
        <v>119300000</v>
      </c>
      <c r="E463">
        <v>487430000</v>
      </c>
      <c r="F463">
        <v>70060000</v>
      </c>
      <c r="G463">
        <v>3175</v>
      </c>
      <c r="H463">
        <v>1.04E-2</v>
      </c>
      <c r="I463" t="b">
        <v>1</v>
      </c>
      <c r="J463">
        <v>2019</v>
      </c>
      <c r="K463" t="s">
        <v>15</v>
      </c>
      <c r="L463" t="s">
        <v>23</v>
      </c>
      <c r="M463">
        <v>4.09</v>
      </c>
      <c r="N463">
        <v>22066</v>
      </c>
      <c r="O463">
        <v>6</v>
      </c>
      <c r="P463" t="str">
        <f>IF('Funding Insights'!$D$5="Industry",Table_startup_data_13[[#This Row],[Industry]],Table_startup_data_13[[#This Row],[Region]])</f>
        <v>IoT</v>
      </c>
    </row>
    <row r="464" spans="1:16" x14ac:dyDescent="0.25">
      <c r="A464" t="s">
        <v>91</v>
      </c>
      <c r="B464" t="s">
        <v>31</v>
      </c>
      <c r="C464">
        <v>3</v>
      </c>
      <c r="D464">
        <v>81340000</v>
      </c>
      <c r="E464">
        <v>990910000</v>
      </c>
      <c r="F464">
        <v>92970000</v>
      </c>
      <c r="G464">
        <v>3740</v>
      </c>
      <c r="H464">
        <v>7.7600000000000002E-2</v>
      </c>
      <c r="I464" t="b">
        <v>0</v>
      </c>
      <c r="J464">
        <v>2018</v>
      </c>
      <c r="K464" t="s">
        <v>29</v>
      </c>
      <c r="L464" t="s">
        <v>23</v>
      </c>
      <c r="M464">
        <v>12.18</v>
      </c>
      <c r="N464">
        <v>24858</v>
      </c>
      <c r="O464">
        <v>7</v>
      </c>
      <c r="P464" t="str">
        <f>IF('Funding Insights'!$D$5="Industry",Table_startup_data_13[[#This Row],[Industry]],Table_startup_data_13[[#This Row],[Region]])</f>
        <v>FinTech</v>
      </c>
    </row>
    <row r="465" spans="1:16" x14ac:dyDescent="0.25">
      <c r="A465" t="s">
        <v>101</v>
      </c>
      <c r="B465" t="s">
        <v>14</v>
      </c>
      <c r="C465">
        <v>5</v>
      </c>
      <c r="D465">
        <v>105790000</v>
      </c>
      <c r="E465">
        <v>734240000</v>
      </c>
      <c r="F465">
        <v>70630000</v>
      </c>
      <c r="G465">
        <v>3735</v>
      </c>
      <c r="H465">
        <v>5.3699999999999998E-2</v>
      </c>
      <c r="I465" t="b">
        <v>1</v>
      </c>
      <c r="J465">
        <v>2007</v>
      </c>
      <c r="K465" t="s">
        <v>11</v>
      </c>
      <c r="L465" t="s">
        <v>23</v>
      </c>
      <c r="M465">
        <v>6.94</v>
      </c>
      <c r="N465">
        <v>18910</v>
      </c>
      <c r="O465">
        <v>18</v>
      </c>
      <c r="P465" t="str">
        <f>IF('Funding Insights'!$D$5="Industry",Table_startup_data_13[[#This Row],[Industry]],Table_startup_data_13[[#This Row],[Region]])</f>
        <v>EdTech</v>
      </c>
    </row>
    <row r="466" spans="1:16" x14ac:dyDescent="0.25">
      <c r="A466" t="s">
        <v>102</v>
      </c>
      <c r="B466" t="s">
        <v>36</v>
      </c>
      <c r="C466">
        <v>5</v>
      </c>
      <c r="D466">
        <v>124130000</v>
      </c>
      <c r="E466">
        <v>1311120000</v>
      </c>
      <c r="F466">
        <v>63150000</v>
      </c>
      <c r="G466">
        <v>2051</v>
      </c>
      <c r="H466">
        <v>5.9499999999999997E-2</v>
      </c>
      <c r="I466" t="b">
        <v>1</v>
      </c>
      <c r="J466">
        <v>2004</v>
      </c>
      <c r="K466" t="s">
        <v>25</v>
      </c>
      <c r="L466" t="s">
        <v>23</v>
      </c>
      <c r="M466">
        <v>10.56</v>
      </c>
      <c r="N466">
        <v>30790</v>
      </c>
      <c r="O466">
        <v>21</v>
      </c>
      <c r="P466" t="str">
        <f>IF('Funding Insights'!$D$5="Industry",Table_startup_data_13[[#This Row],[Industry]],Table_startup_data_13[[#This Row],[Region]])</f>
        <v>Cybersecurity</v>
      </c>
    </row>
    <row r="467" spans="1:16" x14ac:dyDescent="0.25">
      <c r="A467" t="s">
        <v>116</v>
      </c>
      <c r="B467" t="s">
        <v>18</v>
      </c>
      <c r="C467">
        <v>1</v>
      </c>
      <c r="D467">
        <v>207320000</v>
      </c>
      <c r="E467">
        <v>1971270000</v>
      </c>
      <c r="F467">
        <v>4560000</v>
      </c>
      <c r="G467">
        <v>1212</v>
      </c>
      <c r="H467">
        <v>4.2200000000000001E-2</v>
      </c>
      <c r="I467" t="b">
        <v>0</v>
      </c>
      <c r="J467">
        <v>1994</v>
      </c>
      <c r="K467" t="s">
        <v>15</v>
      </c>
      <c r="L467" t="s">
        <v>23</v>
      </c>
      <c r="M467">
        <v>9.51</v>
      </c>
      <c r="N467">
        <v>3762</v>
      </c>
      <c r="O467">
        <v>31</v>
      </c>
      <c r="P467" t="str">
        <f>IF('Funding Insights'!$D$5="Industry",Table_startup_data_13[[#This Row],[Industry]],Table_startup_data_13[[#This Row],[Region]])</f>
        <v>Gaming</v>
      </c>
    </row>
    <row r="468" spans="1:16" x14ac:dyDescent="0.25">
      <c r="A468" t="s">
        <v>128</v>
      </c>
      <c r="B468" t="s">
        <v>36</v>
      </c>
      <c r="C468">
        <v>4</v>
      </c>
      <c r="D468">
        <v>208110000</v>
      </c>
      <c r="E468">
        <v>2489520000</v>
      </c>
      <c r="F468">
        <v>4750000</v>
      </c>
      <c r="G468">
        <v>2459</v>
      </c>
      <c r="H468">
        <v>7.6499999999999999E-2</v>
      </c>
      <c r="I468" t="b">
        <v>0</v>
      </c>
      <c r="J468">
        <v>2001</v>
      </c>
      <c r="K468" t="s">
        <v>29</v>
      </c>
      <c r="L468" t="s">
        <v>23</v>
      </c>
      <c r="M468">
        <v>11.96</v>
      </c>
      <c r="N468">
        <v>1932</v>
      </c>
      <c r="O468">
        <v>24</v>
      </c>
      <c r="P468" t="str">
        <f>IF('Funding Insights'!$D$5="Industry",Table_startup_data_13[[#This Row],[Industry]],Table_startup_data_13[[#This Row],[Region]])</f>
        <v>Cybersecurity</v>
      </c>
    </row>
    <row r="469" spans="1:16" x14ac:dyDescent="0.25">
      <c r="A469" t="s">
        <v>129</v>
      </c>
      <c r="B469" t="s">
        <v>10</v>
      </c>
      <c r="C469">
        <v>4</v>
      </c>
      <c r="D469">
        <v>15950000</v>
      </c>
      <c r="E469">
        <v>184790000</v>
      </c>
      <c r="F469">
        <v>62010000</v>
      </c>
      <c r="G469">
        <v>4499</v>
      </c>
      <c r="H469">
        <v>5.4699999999999999E-2</v>
      </c>
      <c r="I469" t="b">
        <v>0</v>
      </c>
      <c r="J469">
        <v>2012</v>
      </c>
      <c r="K469" t="s">
        <v>11</v>
      </c>
      <c r="L469" t="s">
        <v>23</v>
      </c>
      <c r="M469">
        <v>11.59</v>
      </c>
      <c r="N469">
        <v>13783</v>
      </c>
      <c r="O469">
        <v>13</v>
      </c>
      <c r="P469" t="str">
        <f>IF('Funding Insights'!$D$5="Industry",Table_startup_data_13[[#This Row],[Industry]],Table_startup_data_13[[#This Row],[Region]])</f>
        <v>IoT</v>
      </c>
    </row>
    <row r="470" spans="1:16" x14ac:dyDescent="0.25">
      <c r="A470" t="s">
        <v>147</v>
      </c>
      <c r="B470" t="s">
        <v>10</v>
      </c>
      <c r="C470">
        <v>5</v>
      </c>
      <c r="D470">
        <v>193540000</v>
      </c>
      <c r="E470">
        <v>1929820000</v>
      </c>
      <c r="F470">
        <v>72540000</v>
      </c>
      <c r="G470">
        <v>1868</v>
      </c>
      <c r="H470">
        <v>1.7999999999999999E-2</v>
      </c>
      <c r="I470" t="b">
        <v>1</v>
      </c>
      <c r="J470">
        <v>2003</v>
      </c>
      <c r="K470" t="s">
        <v>29</v>
      </c>
      <c r="L470" t="s">
        <v>23</v>
      </c>
      <c r="M470">
        <v>9.9700000000000006</v>
      </c>
      <c r="N470">
        <v>38833</v>
      </c>
      <c r="O470">
        <v>22</v>
      </c>
      <c r="P470" t="str">
        <f>IF('Funding Insights'!$D$5="Industry",Table_startup_data_13[[#This Row],[Industry]],Table_startup_data_13[[#This Row],[Region]])</f>
        <v>IoT</v>
      </c>
    </row>
    <row r="471" spans="1:16" x14ac:dyDescent="0.25">
      <c r="A471" t="s">
        <v>181</v>
      </c>
      <c r="B471" t="s">
        <v>10</v>
      </c>
      <c r="C471">
        <v>3</v>
      </c>
      <c r="D471">
        <v>101240000</v>
      </c>
      <c r="E471">
        <v>1192960000</v>
      </c>
      <c r="F471">
        <v>97810000</v>
      </c>
      <c r="G471">
        <v>3564</v>
      </c>
      <c r="H471">
        <v>5.6300000000000003E-2</v>
      </c>
      <c r="I471" t="b">
        <v>1</v>
      </c>
      <c r="J471">
        <v>1994</v>
      </c>
      <c r="K471" t="s">
        <v>25</v>
      </c>
      <c r="L471" t="s">
        <v>23</v>
      </c>
      <c r="M471">
        <v>11.78</v>
      </c>
      <c r="N471">
        <v>27444</v>
      </c>
      <c r="O471">
        <v>31</v>
      </c>
      <c r="P471" t="str">
        <f>IF('Funding Insights'!$D$5="Industry",Table_startup_data_13[[#This Row],[Industry]],Table_startup_data_13[[#This Row],[Region]])</f>
        <v>IoT</v>
      </c>
    </row>
    <row r="472" spans="1:16" x14ac:dyDescent="0.25">
      <c r="A472" t="s">
        <v>182</v>
      </c>
      <c r="B472" t="s">
        <v>27</v>
      </c>
      <c r="C472">
        <v>5</v>
      </c>
      <c r="D472">
        <v>156990000</v>
      </c>
      <c r="E472">
        <v>2074480000</v>
      </c>
      <c r="F472">
        <v>79420000</v>
      </c>
      <c r="G472">
        <v>3403</v>
      </c>
      <c r="H472">
        <v>5.0599999999999999E-2</v>
      </c>
      <c r="I472" t="b">
        <v>1</v>
      </c>
      <c r="J472">
        <v>2015</v>
      </c>
      <c r="K472" t="s">
        <v>11</v>
      </c>
      <c r="L472" t="s">
        <v>23</v>
      </c>
      <c r="M472">
        <v>13.21</v>
      </c>
      <c r="N472">
        <v>23338</v>
      </c>
      <c r="O472">
        <v>10</v>
      </c>
      <c r="P472" t="str">
        <f>IF('Funding Insights'!$D$5="Industry",Table_startup_data_13[[#This Row],[Industry]],Table_startup_data_13[[#This Row],[Region]])</f>
        <v>HealthTech</v>
      </c>
    </row>
    <row r="473" spans="1:16" x14ac:dyDescent="0.25">
      <c r="A473" t="s">
        <v>188</v>
      </c>
      <c r="B473" t="s">
        <v>36</v>
      </c>
      <c r="C473">
        <v>2</v>
      </c>
      <c r="D473">
        <v>214810000</v>
      </c>
      <c r="E473">
        <v>1038780000</v>
      </c>
      <c r="F473">
        <v>75440000</v>
      </c>
      <c r="G473">
        <v>29</v>
      </c>
      <c r="H473">
        <v>4.87E-2</v>
      </c>
      <c r="I473" t="b">
        <v>0</v>
      </c>
      <c r="J473">
        <v>2012</v>
      </c>
      <c r="K473" t="s">
        <v>38</v>
      </c>
      <c r="L473" t="s">
        <v>23</v>
      </c>
      <c r="M473">
        <v>4.84</v>
      </c>
      <c r="N473">
        <v>2601379</v>
      </c>
      <c r="O473">
        <v>13</v>
      </c>
      <c r="P473" t="str">
        <f>IF('Funding Insights'!$D$5="Industry",Table_startup_data_13[[#This Row],[Industry]],Table_startup_data_13[[#This Row],[Region]])</f>
        <v>Cybersecurity</v>
      </c>
    </row>
    <row r="474" spans="1:16" x14ac:dyDescent="0.25">
      <c r="A474" t="s">
        <v>201</v>
      </c>
      <c r="B474" t="s">
        <v>72</v>
      </c>
      <c r="C474">
        <v>4</v>
      </c>
      <c r="D474">
        <v>265320000</v>
      </c>
      <c r="E474">
        <v>1247350000</v>
      </c>
      <c r="F474">
        <v>28310000</v>
      </c>
      <c r="G474">
        <v>3180</v>
      </c>
      <c r="H474">
        <v>8.0000000000000002E-3</v>
      </c>
      <c r="I474" t="b">
        <v>0</v>
      </c>
      <c r="J474">
        <v>2009</v>
      </c>
      <c r="K474" t="s">
        <v>15</v>
      </c>
      <c r="L474" t="s">
        <v>23</v>
      </c>
      <c r="M474">
        <v>4.7</v>
      </c>
      <c r="N474">
        <v>8903</v>
      </c>
      <c r="O474">
        <v>16</v>
      </c>
      <c r="P474" t="str">
        <f>IF('Funding Insights'!$D$5="Industry",Table_startup_data_13[[#This Row],[Industry]],Table_startup_data_13[[#This Row],[Region]])</f>
        <v>E-Commerce</v>
      </c>
    </row>
    <row r="475" spans="1:16" x14ac:dyDescent="0.25">
      <c r="A475" t="s">
        <v>205</v>
      </c>
      <c r="B475" t="s">
        <v>18</v>
      </c>
      <c r="C475">
        <v>2</v>
      </c>
      <c r="D475">
        <v>223130000</v>
      </c>
      <c r="E475">
        <v>1854790000</v>
      </c>
      <c r="F475">
        <v>45220000</v>
      </c>
      <c r="G475">
        <v>418</v>
      </c>
      <c r="H475">
        <v>9.8199999999999996E-2</v>
      </c>
      <c r="I475" t="b">
        <v>1</v>
      </c>
      <c r="J475">
        <v>2011</v>
      </c>
      <c r="K475" t="s">
        <v>29</v>
      </c>
      <c r="L475" t="s">
        <v>23</v>
      </c>
      <c r="M475">
        <v>8.31</v>
      </c>
      <c r="N475">
        <v>108182</v>
      </c>
      <c r="O475">
        <v>14</v>
      </c>
      <c r="P475" t="str">
        <f>IF('Funding Insights'!$D$5="Industry",Table_startup_data_13[[#This Row],[Industry]],Table_startup_data_13[[#This Row],[Region]])</f>
        <v>Gaming</v>
      </c>
    </row>
    <row r="476" spans="1:16" x14ac:dyDescent="0.25">
      <c r="A476" t="s">
        <v>215</v>
      </c>
      <c r="B476" t="s">
        <v>31</v>
      </c>
      <c r="C476">
        <v>1</v>
      </c>
      <c r="D476">
        <v>287200000</v>
      </c>
      <c r="E476">
        <v>1774540000</v>
      </c>
      <c r="F476">
        <v>31300000</v>
      </c>
      <c r="G476">
        <v>2020</v>
      </c>
      <c r="H476">
        <v>4.36E-2</v>
      </c>
      <c r="I476" t="b">
        <v>0</v>
      </c>
      <c r="J476">
        <v>2011</v>
      </c>
      <c r="K476" t="s">
        <v>11</v>
      </c>
      <c r="L476" t="s">
        <v>23</v>
      </c>
      <c r="M476">
        <v>6.18</v>
      </c>
      <c r="N476">
        <v>15495</v>
      </c>
      <c r="O476">
        <v>14</v>
      </c>
      <c r="P476" t="str">
        <f>IF('Funding Insights'!$D$5="Industry",Table_startup_data_13[[#This Row],[Industry]],Table_startup_data_13[[#This Row],[Region]])</f>
        <v>FinTech</v>
      </c>
    </row>
    <row r="477" spans="1:16" x14ac:dyDescent="0.25">
      <c r="A477" t="s">
        <v>233</v>
      </c>
      <c r="B477" t="s">
        <v>18</v>
      </c>
      <c r="C477">
        <v>1</v>
      </c>
      <c r="D477">
        <v>258110000</v>
      </c>
      <c r="E477">
        <v>936440000</v>
      </c>
      <c r="F477">
        <v>31380000</v>
      </c>
      <c r="G477">
        <v>3706</v>
      </c>
      <c r="H477">
        <v>9.9000000000000005E-2</v>
      </c>
      <c r="I477" t="b">
        <v>0</v>
      </c>
      <c r="J477">
        <v>1998</v>
      </c>
      <c r="K477" t="s">
        <v>25</v>
      </c>
      <c r="L477" t="s">
        <v>23</v>
      </c>
      <c r="M477">
        <v>3.63</v>
      </c>
      <c r="N477">
        <v>8467</v>
      </c>
      <c r="O477">
        <v>27</v>
      </c>
      <c r="P477" t="str">
        <f>IF('Funding Insights'!$D$5="Industry",Table_startup_data_13[[#This Row],[Industry]],Table_startup_data_13[[#This Row],[Region]])</f>
        <v>Gaming</v>
      </c>
    </row>
    <row r="478" spans="1:16" x14ac:dyDescent="0.25">
      <c r="A478" t="s">
        <v>235</v>
      </c>
      <c r="B478" t="s">
        <v>10</v>
      </c>
      <c r="C478">
        <v>5</v>
      </c>
      <c r="D478">
        <v>117660000</v>
      </c>
      <c r="E478">
        <v>865430000</v>
      </c>
      <c r="F478">
        <v>96780000</v>
      </c>
      <c r="G478">
        <v>1593</v>
      </c>
      <c r="H478">
        <v>9.4200000000000006E-2</v>
      </c>
      <c r="I478" t="b">
        <v>1</v>
      </c>
      <c r="J478">
        <v>1996</v>
      </c>
      <c r="K478" t="s">
        <v>11</v>
      </c>
      <c r="L478" t="s">
        <v>23</v>
      </c>
      <c r="M478">
        <v>7.36</v>
      </c>
      <c r="N478">
        <v>60753</v>
      </c>
      <c r="O478">
        <v>29</v>
      </c>
      <c r="P478" t="str">
        <f>IF('Funding Insights'!$D$5="Industry",Table_startup_data_13[[#This Row],[Industry]],Table_startup_data_13[[#This Row],[Region]])</f>
        <v>IoT</v>
      </c>
    </row>
    <row r="479" spans="1:16" x14ac:dyDescent="0.25">
      <c r="A479" t="s">
        <v>269</v>
      </c>
      <c r="B479" t="s">
        <v>27</v>
      </c>
      <c r="C479">
        <v>5</v>
      </c>
      <c r="D479">
        <v>71990000</v>
      </c>
      <c r="E479">
        <v>412380000</v>
      </c>
      <c r="F479">
        <v>24510000</v>
      </c>
      <c r="G479">
        <v>672</v>
      </c>
      <c r="H479">
        <v>4.5600000000000002E-2</v>
      </c>
      <c r="I479" t="b">
        <v>0</v>
      </c>
      <c r="J479">
        <v>1990</v>
      </c>
      <c r="K479" t="s">
        <v>11</v>
      </c>
      <c r="L479" t="s">
        <v>23</v>
      </c>
      <c r="M479">
        <v>5.73</v>
      </c>
      <c r="N479">
        <v>36473</v>
      </c>
      <c r="O479">
        <v>35</v>
      </c>
      <c r="P479" t="str">
        <f>IF('Funding Insights'!$D$5="Industry",Table_startup_data_13[[#This Row],[Industry]],Table_startup_data_13[[#This Row],[Region]])</f>
        <v>HealthTech</v>
      </c>
    </row>
    <row r="480" spans="1:16" x14ac:dyDescent="0.25">
      <c r="A480" t="s">
        <v>270</v>
      </c>
      <c r="B480" t="s">
        <v>31</v>
      </c>
      <c r="C480">
        <v>3</v>
      </c>
      <c r="D480">
        <v>279060000</v>
      </c>
      <c r="E480">
        <v>1981350000</v>
      </c>
      <c r="F480">
        <v>11380000</v>
      </c>
      <c r="G480">
        <v>4733</v>
      </c>
      <c r="H480">
        <v>6.7500000000000004E-2</v>
      </c>
      <c r="I480" t="b">
        <v>0</v>
      </c>
      <c r="J480">
        <v>2017</v>
      </c>
      <c r="K480" t="s">
        <v>29</v>
      </c>
      <c r="L480" t="s">
        <v>23</v>
      </c>
      <c r="M480">
        <v>7.1</v>
      </c>
      <c r="N480">
        <v>2404</v>
      </c>
      <c r="O480">
        <v>8</v>
      </c>
      <c r="P480" t="str">
        <f>IF('Funding Insights'!$D$5="Industry",Table_startup_data_13[[#This Row],[Industry]],Table_startup_data_13[[#This Row],[Region]])</f>
        <v>FinTech</v>
      </c>
    </row>
    <row r="481" spans="1:16" x14ac:dyDescent="0.25">
      <c r="A481" t="s">
        <v>273</v>
      </c>
      <c r="B481" t="s">
        <v>22</v>
      </c>
      <c r="C481">
        <v>3</v>
      </c>
      <c r="D481">
        <v>57170000</v>
      </c>
      <c r="E481">
        <v>335510000</v>
      </c>
      <c r="F481">
        <v>42070000</v>
      </c>
      <c r="G481">
        <v>4528</v>
      </c>
      <c r="H481">
        <v>2.5700000000000001E-2</v>
      </c>
      <c r="I481" t="b">
        <v>1</v>
      </c>
      <c r="J481">
        <v>2013</v>
      </c>
      <c r="K481" t="s">
        <v>25</v>
      </c>
      <c r="L481" t="s">
        <v>23</v>
      </c>
      <c r="M481">
        <v>5.87</v>
      </c>
      <c r="N481">
        <v>9291</v>
      </c>
      <c r="O481">
        <v>12</v>
      </c>
      <c r="P481" t="str">
        <f>IF('Funding Insights'!$D$5="Industry",Table_startup_data_13[[#This Row],[Industry]],Table_startup_data_13[[#This Row],[Region]])</f>
        <v>AI</v>
      </c>
    </row>
    <row r="482" spans="1:16" x14ac:dyDescent="0.25">
      <c r="A482" t="s">
        <v>282</v>
      </c>
      <c r="B482" t="s">
        <v>27</v>
      </c>
      <c r="C482">
        <v>5</v>
      </c>
      <c r="D482">
        <v>840000</v>
      </c>
      <c r="E482">
        <v>8230000</v>
      </c>
      <c r="F482">
        <v>84390000</v>
      </c>
      <c r="G482">
        <v>475</v>
      </c>
      <c r="H482">
        <v>7.7499999999999999E-2</v>
      </c>
      <c r="I482" t="b">
        <v>0</v>
      </c>
      <c r="J482">
        <v>2016</v>
      </c>
      <c r="K482" t="s">
        <v>11</v>
      </c>
      <c r="L482" t="s">
        <v>23</v>
      </c>
      <c r="M482">
        <v>9.8000000000000007</v>
      </c>
      <c r="N482">
        <v>177663</v>
      </c>
      <c r="O482">
        <v>9</v>
      </c>
      <c r="P482" t="str">
        <f>IF('Funding Insights'!$D$5="Industry",Table_startup_data_13[[#This Row],[Industry]],Table_startup_data_13[[#This Row],[Region]])</f>
        <v>HealthTech</v>
      </c>
    </row>
    <row r="483" spans="1:16" x14ac:dyDescent="0.25">
      <c r="A483" t="s">
        <v>285</v>
      </c>
      <c r="B483" t="s">
        <v>72</v>
      </c>
      <c r="C483">
        <v>1</v>
      </c>
      <c r="D483">
        <v>77980000</v>
      </c>
      <c r="E483">
        <v>605600000</v>
      </c>
      <c r="F483">
        <v>73960000</v>
      </c>
      <c r="G483">
        <v>2015</v>
      </c>
      <c r="H483">
        <v>6.0000000000000001E-3</v>
      </c>
      <c r="I483" t="b">
        <v>1</v>
      </c>
      <c r="J483">
        <v>1991</v>
      </c>
      <c r="K483" t="s">
        <v>25</v>
      </c>
      <c r="L483" t="s">
        <v>23</v>
      </c>
      <c r="M483">
        <v>7.77</v>
      </c>
      <c r="N483">
        <v>36705</v>
      </c>
      <c r="O483">
        <v>34</v>
      </c>
      <c r="P483" t="str">
        <f>IF('Funding Insights'!$D$5="Industry",Table_startup_data_13[[#This Row],[Industry]],Table_startup_data_13[[#This Row],[Region]])</f>
        <v>E-Commerce</v>
      </c>
    </row>
    <row r="484" spans="1:16" x14ac:dyDescent="0.25">
      <c r="A484" t="s">
        <v>289</v>
      </c>
      <c r="B484" t="s">
        <v>14</v>
      </c>
      <c r="C484">
        <v>1</v>
      </c>
      <c r="D484">
        <v>168170000</v>
      </c>
      <c r="E484">
        <v>1579080000</v>
      </c>
      <c r="F484">
        <v>68200000</v>
      </c>
      <c r="G484">
        <v>3993</v>
      </c>
      <c r="H484">
        <v>5.4699999999999999E-2</v>
      </c>
      <c r="I484" t="b">
        <v>1</v>
      </c>
      <c r="J484">
        <v>2014</v>
      </c>
      <c r="K484" t="s">
        <v>15</v>
      </c>
      <c r="L484" t="s">
        <v>23</v>
      </c>
      <c r="M484">
        <v>9.39</v>
      </c>
      <c r="N484">
        <v>17080</v>
      </c>
      <c r="O484">
        <v>11</v>
      </c>
      <c r="P484" t="str">
        <f>IF('Funding Insights'!$D$5="Industry",Table_startup_data_13[[#This Row],[Industry]],Table_startup_data_13[[#This Row],[Region]])</f>
        <v>EdTech</v>
      </c>
    </row>
    <row r="485" spans="1:16" x14ac:dyDescent="0.25">
      <c r="A485" t="s">
        <v>323</v>
      </c>
      <c r="B485" t="s">
        <v>22</v>
      </c>
      <c r="C485">
        <v>2</v>
      </c>
      <c r="D485">
        <v>76130000</v>
      </c>
      <c r="E485">
        <v>1006240000</v>
      </c>
      <c r="F485">
        <v>96630000</v>
      </c>
      <c r="G485">
        <v>1883</v>
      </c>
      <c r="H485">
        <v>4.3099999999999999E-2</v>
      </c>
      <c r="I485" t="b">
        <v>0</v>
      </c>
      <c r="J485">
        <v>2009</v>
      </c>
      <c r="K485" t="s">
        <v>11</v>
      </c>
      <c r="L485" t="s">
        <v>23</v>
      </c>
      <c r="M485">
        <v>13.22</v>
      </c>
      <c r="N485">
        <v>51317</v>
      </c>
      <c r="O485">
        <v>16</v>
      </c>
      <c r="P485" t="str">
        <f>IF('Funding Insights'!$D$5="Industry",Table_startup_data_13[[#This Row],[Industry]],Table_startup_data_13[[#This Row],[Region]])</f>
        <v>AI</v>
      </c>
    </row>
    <row r="486" spans="1:16" x14ac:dyDescent="0.25">
      <c r="A486" t="s">
        <v>334</v>
      </c>
      <c r="B486" t="s">
        <v>14</v>
      </c>
      <c r="C486">
        <v>3</v>
      </c>
      <c r="D486">
        <v>231960000</v>
      </c>
      <c r="E486">
        <v>2420260000</v>
      </c>
      <c r="F486">
        <v>53310000</v>
      </c>
      <c r="G486">
        <v>1466</v>
      </c>
      <c r="H486">
        <v>4.0300000000000002E-2</v>
      </c>
      <c r="I486" t="b">
        <v>0</v>
      </c>
      <c r="J486">
        <v>2011</v>
      </c>
      <c r="K486" t="s">
        <v>29</v>
      </c>
      <c r="L486" t="s">
        <v>23</v>
      </c>
      <c r="M486">
        <v>10.43</v>
      </c>
      <c r="N486">
        <v>36364</v>
      </c>
      <c r="O486">
        <v>14</v>
      </c>
      <c r="P486" t="str">
        <f>IF('Funding Insights'!$D$5="Industry",Table_startup_data_13[[#This Row],[Industry]],Table_startup_data_13[[#This Row],[Region]])</f>
        <v>EdTech</v>
      </c>
    </row>
    <row r="487" spans="1:16" x14ac:dyDescent="0.25">
      <c r="A487" t="s">
        <v>365</v>
      </c>
      <c r="B487" t="s">
        <v>10</v>
      </c>
      <c r="C487">
        <v>4</v>
      </c>
      <c r="D487">
        <v>273590000</v>
      </c>
      <c r="E487">
        <v>2732010000</v>
      </c>
      <c r="F487">
        <v>22100000</v>
      </c>
      <c r="G487">
        <v>1406</v>
      </c>
      <c r="H487">
        <v>3.8E-3</v>
      </c>
      <c r="I487" t="b">
        <v>1</v>
      </c>
      <c r="J487">
        <v>2003</v>
      </c>
      <c r="K487" t="s">
        <v>15</v>
      </c>
      <c r="L487" t="s">
        <v>23</v>
      </c>
      <c r="M487">
        <v>9.99</v>
      </c>
      <c r="N487">
        <v>15718</v>
      </c>
      <c r="O487">
        <v>22</v>
      </c>
      <c r="P487" t="str">
        <f>IF('Funding Insights'!$D$5="Industry",Table_startup_data_13[[#This Row],[Industry]],Table_startup_data_13[[#This Row],[Region]])</f>
        <v>IoT</v>
      </c>
    </row>
    <row r="488" spans="1:16" x14ac:dyDescent="0.25">
      <c r="A488" t="s">
        <v>385</v>
      </c>
      <c r="B488" t="s">
        <v>72</v>
      </c>
      <c r="C488">
        <v>5</v>
      </c>
      <c r="D488">
        <v>292420000</v>
      </c>
      <c r="E488">
        <v>3721990000</v>
      </c>
      <c r="F488">
        <v>64000000</v>
      </c>
      <c r="G488">
        <v>1529</v>
      </c>
      <c r="H488">
        <v>2.6200000000000001E-2</v>
      </c>
      <c r="I488" t="b">
        <v>1</v>
      </c>
      <c r="J488">
        <v>2016</v>
      </c>
      <c r="K488" t="s">
        <v>15</v>
      </c>
      <c r="L488" t="s">
        <v>23</v>
      </c>
      <c r="M488">
        <v>12.73</v>
      </c>
      <c r="N488">
        <v>41857</v>
      </c>
      <c r="O488">
        <v>9</v>
      </c>
      <c r="P488" t="str">
        <f>IF('Funding Insights'!$D$5="Industry",Table_startup_data_13[[#This Row],[Industry]],Table_startup_data_13[[#This Row],[Region]])</f>
        <v>E-Commerce</v>
      </c>
    </row>
    <row r="489" spans="1:16" x14ac:dyDescent="0.25">
      <c r="A489" t="s">
        <v>391</v>
      </c>
      <c r="B489" t="s">
        <v>14</v>
      </c>
      <c r="C489">
        <v>4</v>
      </c>
      <c r="D489">
        <v>217420000</v>
      </c>
      <c r="E489">
        <v>918770000</v>
      </c>
      <c r="F489">
        <v>26340000</v>
      </c>
      <c r="G489">
        <v>3901</v>
      </c>
      <c r="H489">
        <v>8.1100000000000005E-2</v>
      </c>
      <c r="I489" t="b">
        <v>0</v>
      </c>
      <c r="J489">
        <v>2021</v>
      </c>
      <c r="K489" t="s">
        <v>38</v>
      </c>
      <c r="L489" t="s">
        <v>23</v>
      </c>
      <c r="M489">
        <v>4.2300000000000004</v>
      </c>
      <c r="N489">
        <v>6752</v>
      </c>
      <c r="O489">
        <v>4</v>
      </c>
      <c r="P489" t="str">
        <f>IF('Funding Insights'!$D$5="Industry",Table_startup_data_13[[#This Row],[Industry]],Table_startup_data_13[[#This Row],[Region]])</f>
        <v>EdTech</v>
      </c>
    </row>
    <row r="490" spans="1:16" x14ac:dyDescent="0.25">
      <c r="A490" t="s">
        <v>405</v>
      </c>
      <c r="B490" t="s">
        <v>14</v>
      </c>
      <c r="C490">
        <v>3</v>
      </c>
      <c r="D490">
        <v>25210000</v>
      </c>
      <c r="E490">
        <v>344690000</v>
      </c>
      <c r="F490">
        <v>47350000</v>
      </c>
      <c r="G490">
        <v>3290</v>
      </c>
      <c r="H490">
        <v>3.5099999999999999E-2</v>
      </c>
      <c r="I490" t="b">
        <v>0</v>
      </c>
      <c r="J490">
        <v>2009</v>
      </c>
      <c r="K490" t="s">
        <v>15</v>
      </c>
      <c r="L490" t="s">
        <v>23</v>
      </c>
      <c r="M490">
        <v>13.67</v>
      </c>
      <c r="N490">
        <v>14392</v>
      </c>
      <c r="O490">
        <v>16</v>
      </c>
      <c r="P490" t="str">
        <f>IF('Funding Insights'!$D$5="Industry",Table_startup_data_13[[#This Row],[Industry]],Table_startup_data_13[[#This Row],[Region]])</f>
        <v>EdTech</v>
      </c>
    </row>
    <row r="491" spans="1:16" x14ac:dyDescent="0.25">
      <c r="A491" t="s">
        <v>422</v>
      </c>
      <c r="B491" t="s">
        <v>72</v>
      </c>
      <c r="C491">
        <v>2</v>
      </c>
      <c r="D491">
        <v>280590000</v>
      </c>
      <c r="E491">
        <v>4110360000</v>
      </c>
      <c r="F491">
        <v>27850000</v>
      </c>
      <c r="G491">
        <v>984</v>
      </c>
      <c r="H491">
        <v>3.5200000000000002E-2</v>
      </c>
      <c r="I491" t="b">
        <v>1</v>
      </c>
      <c r="J491">
        <v>2011</v>
      </c>
      <c r="K491" t="s">
        <v>29</v>
      </c>
      <c r="L491" t="s">
        <v>23</v>
      </c>
      <c r="M491">
        <v>14.65</v>
      </c>
      <c r="N491">
        <v>28303</v>
      </c>
      <c r="O491">
        <v>14</v>
      </c>
      <c r="P491" t="str">
        <f>IF('Funding Insights'!$D$5="Industry",Table_startup_data_13[[#This Row],[Industry]],Table_startup_data_13[[#This Row],[Region]])</f>
        <v>E-Commerce</v>
      </c>
    </row>
    <row r="492" spans="1:16" x14ac:dyDescent="0.25">
      <c r="A492" t="s">
        <v>427</v>
      </c>
      <c r="B492" t="s">
        <v>36</v>
      </c>
      <c r="C492">
        <v>2</v>
      </c>
      <c r="D492">
        <v>145580000</v>
      </c>
      <c r="E492">
        <v>1396900000</v>
      </c>
      <c r="F492">
        <v>88000000</v>
      </c>
      <c r="G492">
        <v>237</v>
      </c>
      <c r="H492">
        <v>6.3799999999999996E-2</v>
      </c>
      <c r="I492" t="b">
        <v>0</v>
      </c>
      <c r="J492">
        <v>1997</v>
      </c>
      <c r="K492" t="s">
        <v>38</v>
      </c>
      <c r="L492" t="s">
        <v>23</v>
      </c>
      <c r="M492">
        <v>9.6</v>
      </c>
      <c r="N492">
        <v>371308</v>
      </c>
      <c r="O492">
        <v>28</v>
      </c>
      <c r="P492" t="str">
        <f>IF('Funding Insights'!$D$5="Industry",Table_startup_data_13[[#This Row],[Industry]],Table_startup_data_13[[#This Row],[Region]])</f>
        <v>Cybersecurity</v>
      </c>
    </row>
    <row r="493" spans="1:16" x14ac:dyDescent="0.25">
      <c r="A493" t="s">
        <v>435</v>
      </c>
      <c r="B493" t="s">
        <v>27</v>
      </c>
      <c r="C493">
        <v>3</v>
      </c>
      <c r="D493">
        <v>131860000</v>
      </c>
      <c r="E493">
        <v>756100000</v>
      </c>
      <c r="F493">
        <v>39050000</v>
      </c>
      <c r="G493">
        <v>3436</v>
      </c>
      <c r="H493">
        <v>3.4200000000000001E-2</v>
      </c>
      <c r="I493" t="b">
        <v>0</v>
      </c>
      <c r="J493">
        <v>2008</v>
      </c>
      <c r="K493" t="s">
        <v>38</v>
      </c>
      <c r="L493" t="s">
        <v>23</v>
      </c>
      <c r="M493">
        <v>5.73</v>
      </c>
      <c r="N493">
        <v>11365</v>
      </c>
      <c r="O493">
        <v>17</v>
      </c>
      <c r="P493" t="str">
        <f>IF('Funding Insights'!$D$5="Industry",Table_startup_data_13[[#This Row],[Industry]],Table_startup_data_13[[#This Row],[Region]])</f>
        <v>HealthTech</v>
      </c>
    </row>
    <row r="494" spans="1:16" x14ac:dyDescent="0.25">
      <c r="A494" t="s">
        <v>459</v>
      </c>
      <c r="B494" t="s">
        <v>18</v>
      </c>
      <c r="C494">
        <v>1</v>
      </c>
      <c r="D494">
        <v>52670000</v>
      </c>
      <c r="E494">
        <v>505690000</v>
      </c>
      <c r="F494">
        <v>40480000</v>
      </c>
      <c r="G494">
        <v>2505</v>
      </c>
      <c r="H494">
        <v>6.8199999999999997E-2</v>
      </c>
      <c r="I494" t="b">
        <v>1</v>
      </c>
      <c r="J494">
        <v>2014</v>
      </c>
      <c r="K494" t="s">
        <v>25</v>
      </c>
      <c r="L494" t="s">
        <v>23</v>
      </c>
      <c r="M494">
        <v>9.6</v>
      </c>
      <c r="N494">
        <v>16160</v>
      </c>
      <c r="O494">
        <v>11</v>
      </c>
      <c r="P494" t="str">
        <f>IF('Funding Insights'!$D$5="Industry",Table_startup_data_13[[#This Row],[Industry]],Table_startup_data_13[[#This Row],[Region]])</f>
        <v>Gaming</v>
      </c>
    </row>
    <row r="495" spans="1:16" x14ac:dyDescent="0.25">
      <c r="A495" t="s">
        <v>467</v>
      </c>
      <c r="B495" t="s">
        <v>18</v>
      </c>
      <c r="C495">
        <v>5</v>
      </c>
      <c r="D495">
        <v>163220000</v>
      </c>
      <c r="E495">
        <v>2433440000</v>
      </c>
      <c r="F495">
        <v>50270000</v>
      </c>
      <c r="G495">
        <v>2572</v>
      </c>
      <c r="H495">
        <v>8.8700000000000001E-2</v>
      </c>
      <c r="I495" t="b">
        <v>1</v>
      </c>
      <c r="J495">
        <v>2012</v>
      </c>
      <c r="K495" t="s">
        <v>38</v>
      </c>
      <c r="L495" t="s">
        <v>23</v>
      </c>
      <c r="M495">
        <v>14.91</v>
      </c>
      <c r="N495">
        <v>19545</v>
      </c>
      <c r="O495">
        <v>13</v>
      </c>
      <c r="P495" t="str">
        <f>IF('Funding Insights'!$D$5="Industry",Table_startup_data_13[[#This Row],[Industry]],Table_startup_data_13[[#This Row],[Region]])</f>
        <v>Gaming</v>
      </c>
    </row>
    <row r="496" spans="1:16" x14ac:dyDescent="0.25">
      <c r="A496" t="s">
        <v>474</v>
      </c>
      <c r="B496" t="s">
        <v>14</v>
      </c>
      <c r="C496">
        <v>2</v>
      </c>
      <c r="D496">
        <v>237990000</v>
      </c>
      <c r="E496">
        <v>1345300000</v>
      </c>
      <c r="F496">
        <v>53050000</v>
      </c>
      <c r="G496">
        <v>2385</v>
      </c>
      <c r="H496">
        <v>4.7E-2</v>
      </c>
      <c r="I496" t="b">
        <v>0</v>
      </c>
      <c r="J496">
        <v>2003</v>
      </c>
      <c r="K496" t="s">
        <v>25</v>
      </c>
      <c r="L496" t="s">
        <v>23</v>
      </c>
      <c r="M496">
        <v>5.65</v>
      </c>
      <c r="N496">
        <v>22243</v>
      </c>
      <c r="O496">
        <v>22</v>
      </c>
      <c r="P496" t="str">
        <f>IF('Funding Insights'!$D$5="Industry",Table_startup_data_13[[#This Row],[Industry]],Table_startup_data_13[[#This Row],[Region]])</f>
        <v>EdTech</v>
      </c>
    </row>
    <row r="497" spans="1:16" x14ac:dyDescent="0.25">
      <c r="A497" t="s">
        <v>476</v>
      </c>
      <c r="B497" t="s">
        <v>72</v>
      </c>
      <c r="C497">
        <v>1</v>
      </c>
      <c r="D497">
        <v>297640000</v>
      </c>
      <c r="E497">
        <v>3565220000</v>
      </c>
      <c r="F497">
        <v>99130000</v>
      </c>
      <c r="G497">
        <v>4963</v>
      </c>
      <c r="H497">
        <v>2.1100000000000001E-2</v>
      </c>
      <c r="I497" t="b">
        <v>1</v>
      </c>
      <c r="J497">
        <v>2019</v>
      </c>
      <c r="K497" t="s">
        <v>15</v>
      </c>
      <c r="L497" t="s">
        <v>23</v>
      </c>
      <c r="M497">
        <v>11.98</v>
      </c>
      <c r="N497">
        <v>19974</v>
      </c>
      <c r="O497">
        <v>6</v>
      </c>
      <c r="P497" t="str">
        <f>IF('Funding Insights'!$D$5="Industry",Table_startup_data_13[[#This Row],[Industry]],Table_startup_data_13[[#This Row],[Region]])</f>
        <v>E-Commerce</v>
      </c>
    </row>
    <row r="498" spans="1:16" x14ac:dyDescent="0.25">
      <c r="A498" t="s">
        <v>497</v>
      </c>
      <c r="B498" t="s">
        <v>22</v>
      </c>
      <c r="C498">
        <v>1</v>
      </c>
      <c r="D498">
        <v>29030000</v>
      </c>
      <c r="E498">
        <v>139890000</v>
      </c>
      <c r="F498">
        <v>38490000</v>
      </c>
      <c r="G498">
        <v>249</v>
      </c>
      <c r="H498">
        <v>4.5600000000000002E-2</v>
      </c>
      <c r="I498" t="b">
        <v>1</v>
      </c>
      <c r="J498">
        <v>1993</v>
      </c>
      <c r="K498" t="s">
        <v>11</v>
      </c>
      <c r="L498" t="s">
        <v>23</v>
      </c>
      <c r="M498">
        <v>4.82</v>
      </c>
      <c r="N498">
        <v>154578</v>
      </c>
      <c r="O498">
        <v>32</v>
      </c>
      <c r="P498" t="str">
        <f>IF('Funding Insights'!$D$5="Industry",Table_startup_data_13[[#This Row],[Industry]],Table_startup_data_13[[#This Row],[Region]])</f>
        <v>AI</v>
      </c>
    </row>
    <row r="499" spans="1:16" x14ac:dyDescent="0.25">
      <c r="A499" t="s">
        <v>502</v>
      </c>
      <c r="B499" t="s">
        <v>18</v>
      </c>
      <c r="C499">
        <v>4</v>
      </c>
      <c r="D499">
        <v>3200000</v>
      </c>
      <c r="E499">
        <v>15780000</v>
      </c>
      <c r="F499">
        <v>88980000</v>
      </c>
      <c r="G499">
        <v>2414</v>
      </c>
      <c r="H499">
        <v>5.1999999999999998E-3</v>
      </c>
      <c r="I499" t="b">
        <v>0</v>
      </c>
      <c r="J499">
        <v>1990</v>
      </c>
      <c r="K499" t="s">
        <v>38</v>
      </c>
      <c r="L499" t="s">
        <v>23</v>
      </c>
      <c r="M499">
        <v>4.93</v>
      </c>
      <c r="N499">
        <v>36860</v>
      </c>
      <c r="O499">
        <v>35</v>
      </c>
      <c r="P499" t="str">
        <f>IF('Funding Insights'!$D$5="Industry",Table_startup_data_13[[#This Row],[Industry]],Table_startup_data_13[[#This Row],[Region]])</f>
        <v>Gaming</v>
      </c>
    </row>
    <row r="500" spans="1:16" x14ac:dyDescent="0.25">
      <c r="A500" t="s">
        <v>507</v>
      </c>
      <c r="B500" t="s">
        <v>72</v>
      </c>
      <c r="C500">
        <v>4</v>
      </c>
      <c r="D500">
        <v>70780000</v>
      </c>
      <c r="E500">
        <v>448380000</v>
      </c>
      <c r="F500">
        <v>52630000</v>
      </c>
      <c r="G500">
        <v>4595</v>
      </c>
      <c r="H500">
        <v>7.0999999999999994E-2</v>
      </c>
      <c r="I500" t="b">
        <v>0</v>
      </c>
      <c r="J500">
        <v>2013</v>
      </c>
      <c r="K500" t="s">
        <v>25</v>
      </c>
      <c r="L500" t="s">
        <v>23</v>
      </c>
      <c r="M500">
        <v>6.33</v>
      </c>
      <c r="N500">
        <v>11454</v>
      </c>
      <c r="O500">
        <v>12</v>
      </c>
      <c r="P500" t="str">
        <f>IF('Funding Insights'!$D$5="Industry",Table_startup_data_13[[#This Row],[Industry]],Table_startup_data_13[[#This Row],[Region]])</f>
        <v>E-Commerce</v>
      </c>
    </row>
    <row r="501" spans="1:16" x14ac:dyDescent="0.25">
      <c r="A501" t="s">
        <v>519</v>
      </c>
      <c r="B501" t="s">
        <v>72</v>
      </c>
      <c r="C501">
        <v>4</v>
      </c>
      <c r="D501">
        <v>114120000</v>
      </c>
      <c r="E501">
        <v>1503710000</v>
      </c>
      <c r="F501">
        <v>79190000</v>
      </c>
      <c r="G501">
        <v>4014</v>
      </c>
      <c r="H501">
        <v>1.1299999999999999E-2</v>
      </c>
      <c r="I501" t="b">
        <v>1</v>
      </c>
      <c r="J501">
        <v>2015</v>
      </c>
      <c r="K501" t="s">
        <v>11</v>
      </c>
      <c r="L501" t="s">
        <v>23</v>
      </c>
      <c r="M501">
        <v>13.18</v>
      </c>
      <c r="N501">
        <v>19728</v>
      </c>
      <c r="O501">
        <v>10</v>
      </c>
      <c r="P501" t="str">
        <f>IF('Funding Insights'!$D$5="Industry",Table_startup_data_13[[#This Row],[Industry]],Table_startup_data_13[[#This Row],[Region]])</f>
        <v>E-Commerce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CAC22-54A6-4CDF-9562-AFCC747A837D}">
  <sheetPr codeName="Sheet4"/>
  <dimension ref="D1:M6"/>
  <sheetViews>
    <sheetView showGridLines="0" showRowColHeaders="0" tabSelected="1" workbookViewId="0">
      <selection activeCell="D5" sqref="D5:H6"/>
    </sheetView>
  </sheetViews>
  <sheetFormatPr defaultRowHeight="15" x14ac:dyDescent="0.25"/>
  <cols>
    <col min="1" max="1" width="13.85546875" bestFit="1" customWidth="1"/>
    <col min="2" max="2" width="22.7109375" bestFit="1" customWidth="1"/>
    <col min="4" max="5" width="13.42578125" bestFit="1" customWidth="1"/>
    <col min="6" max="6" width="34.140625" bestFit="1" customWidth="1"/>
  </cols>
  <sheetData>
    <row r="1" spans="4:13" x14ac:dyDescent="0.25">
      <c r="F1" s="21" t="s">
        <v>545</v>
      </c>
      <c r="G1" s="22"/>
      <c r="H1" s="22"/>
      <c r="I1" s="22"/>
      <c r="J1" s="22"/>
      <c r="K1" s="22"/>
      <c r="L1" s="22"/>
      <c r="M1" s="23"/>
    </row>
    <row r="2" spans="4:13" ht="15.75" thickBot="1" x14ac:dyDescent="0.3">
      <c r="F2" s="24"/>
      <c r="G2" s="25"/>
      <c r="H2" s="25"/>
      <c r="I2" s="25"/>
      <c r="J2" s="25"/>
      <c r="K2" s="25"/>
      <c r="L2" s="25"/>
      <c r="M2" s="26"/>
    </row>
    <row r="4" spans="4:13" ht="15.75" thickBot="1" x14ac:dyDescent="0.3">
      <c r="D4" s="17" t="s">
        <v>532</v>
      </c>
      <c r="E4" s="18"/>
      <c r="F4" s="18"/>
      <c r="G4" s="18"/>
      <c r="H4" s="18"/>
    </row>
    <row r="5" spans="4:13" ht="15.75" thickTop="1" x14ac:dyDescent="0.25">
      <c r="D5" s="19" t="s">
        <v>1</v>
      </c>
      <c r="E5" s="19"/>
      <c r="F5" s="19"/>
      <c r="G5" s="19"/>
      <c r="H5" s="19"/>
    </row>
    <row r="6" spans="4:13" x14ac:dyDescent="0.25">
      <c r="D6" s="20"/>
      <c r="E6" s="20"/>
      <c r="F6" s="20"/>
      <c r="G6" s="20"/>
      <c r="H6" s="20"/>
    </row>
  </sheetData>
  <sheetProtection sheet="1" objects="1" scenarios="1" selectLockedCells="1" pivotTables="0"/>
  <mergeCells count="3">
    <mergeCell ref="D4:H4"/>
    <mergeCell ref="D5:H6"/>
    <mergeCell ref="F1:M2"/>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A9E37C0-0B1A-44CB-A679-1FC5103C6326}">
          <x14:formula1>
            <xm:f>'FI calculations'!$F$3:$F$4</xm:f>
          </x14:formula1>
          <xm:sqref>D5:H6</xm:sqref>
        </x14:dataValidation>
      </x14:dataValidations>
    </ex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03800-B211-43D9-AB5B-CD4573D4336C}">
  <sheetPr codeName="Sheet1"/>
  <dimension ref="A1:H502"/>
  <sheetViews>
    <sheetView workbookViewId="0">
      <selection activeCell="F14" sqref="F14"/>
    </sheetView>
  </sheetViews>
  <sheetFormatPr defaultRowHeight="15" x14ac:dyDescent="0.25"/>
  <cols>
    <col min="1" max="1" width="13.42578125" bestFit="1" customWidth="1"/>
    <col min="2" max="2" width="22.7109375" bestFit="1" customWidth="1"/>
    <col min="3" max="3" width="15.85546875" bestFit="1" customWidth="1"/>
    <col min="6" max="6" width="13.42578125" style="8" bestFit="1" customWidth="1"/>
    <col min="7" max="7" width="17.5703125" bestFit="1" customWidth="1"/>
    <col min="8" max="8" width="23.28515625" bestFit="1" customWidth="1"/>
  </cols>
  <sheetData>
    <row r="1" spans="1:8" x14ac:dyDescent="0.25">
      <c r="A1" s="4" t="s">
        <v>529</v>
      </c>
      <c r="B1" t="s">
        <v>530</v>
      </c>
      <c r="C1" t="s">
        <v>536</v>
      </c>
      <c r="F1" s="4" t="s">
        <v>529</v>
      </c>
      <c r="G1" s="8" t="s">
        <v>538</v>
      </c>
    </row>
    <row r="2" spans="1:8" x14ac:dyDescent="0.25">
      <c r="A2" s="5" t="s">
        <v>9</v>
      </c>
      <c r="B2" s="7">
        <v>101090000</v>
      </c>
      <c r="C2" s="7">
        <v>67870000</v>
      </c>
      <c r="F2" s="5" t="s">
        <v>22</v>
      </c>
      <c r="G2" s="8">
        <v>45226.677419354841</v>
      </c>
    </row>
    <row r="3" spans="1:8" x14ac:dyDescent="0.25">
      <c r="A3" s="5" t="s">
        <v>30</v>
      </c>
      <c r="B3" s="7">
        <v>66240000</v>
      </c>
      <c r="C3" s="7">
        <v>21800000</v>
      </c>
      <c r="F3" s="5" t="s">
        <v>36</v>
      </c>
      <c r="G3" s="8">
        <v>104527.13725490196</v>
      </c>
    </row>
    <row r="4" spans="1:8" x14ac:dyDescent="0.25">
      <c r="A4" s="5" t="s">
        <v>124</v>
      </c>
      <c r="B4" s="7">
        <v>191350000</v>
      </c>
      <c r="C4" s="7">
        <v>84490000</v>
      </c>
      <c r="F4" s="5" t="s">
        <v>72</v>
      </c>
      <c r="G4" s="8">
        <v>52454.214285714283</v>
      </c>
    </row>
    <row r="5" spans="1:8" x14ac:dyDescent="0.25">
      <c r="A5" s="5" t="s">
        <v>125</v>
      </c>
      <c r="B5" s="7">
        <v>294180000</v>
      </c>
      <c r="C5" s="7">
        <v>26890000</v>
      </c>
      <c r="F5" s="5" t="s">
        <v>14</v>
      </c>
      <c r="G5" s="8">
        <v>32990.054054054053</v>
      </c>
    </row>
    <row r="6" spans="1:8" x14ac:dyDescent="0.25">
      <c r="A6" s="5" t="s">
        <v>126</v>
      </c>
      <c r="B6" s="7">
        <v>271060000</v>
      </c>
      <c r="C6" s="7">
        <v>15720000</v>
      </c>
      <c r="F6" s="5" t="s">
        <v>31</v>
      </c>
      <c r="G6" s="8">
        <v>39310.521126760563</v>
      </c>
    </row>
    <row r="7" spans="1:8" x14ac:dyDescent="0.25">
      <c r="A7" s="5" t="s">
        <v>127</v>
      </c>
      <c r="B7" s="7">
        <v>194180000</v>
      </c>
      <c r="C7" s="7">
        <v>85320000</v>
      </c>
      <c r="F7" s="5" t="s">
        <v>18</v>
      </c>
      <c r="G7" s="8">
        <v>40826.709677419356</v>
      </c>
    </row>
    <row r="8" spans="1:8" x14ac:dyDescent="0.25">
      <c r="A8" s="5" t="s">
        <v>128</v>
      </c>
      <c r="B8" s="7">
        <v>208110000</v>
      </c>
      <c r="C8" s="7">
        <v>4750000</v>
      </c>
      <c r="F8" s="5" t="s">
        <v>27</v>
      </c>
      <c r="G8" s="8">
        <v>59609.040816326531</v>
      </c>
    </row>
    <row r="9" spans="1:8" x14ac:dyDescent="0.25">
      <c r="A9" s="5" t="s">
        <v>129</v>
      </c>
      <c r="B9" s="7">
        <v>15950000</v>
      </c>
      <c r="C9" s="7">
        <v>62010000</v>
      </c>
      <c r="F9" s="5" t="s">
        <v>10</v>
      </c>
      <c r="G9" s="8">
        <v>27002.475409836065</v>
      </c>
    </row>
    <row r="10" spans="1:8" x14ac:dyDescent="0.25">
      <c r="A10" s="5" t="s">
        <v>130</v>
      </c>
      <c r="B10" s="7">
        <v>201140000</v>
      </c>
      <c r="C10" s="7">
        <v>56240000</v>
      </c>
      <c r="F10" s="5" t="s">
        <v>528</v>
      </c>
      <c r="G10" s="8">
        <v>48276.588000000003</v>
      </c>
    </row>
    <row r="11" spans="1:8" x14ac:dyDescent="0.25">
      <c r="A11" s="5" t="s">
        <v>131</v>
      </c>
      <c r="B11" s="7">
        <v>13730000</v>
      </c>
      <c r="C11" s="7">
        <v>34660000</v>
      </c>
      <c r="F11"/>
    </row>
    <row r="12" spans="1:8" x14ac:dyDescent="0.25">
      <c r="A12" s="5" t="s">
        <v>132</v>
      </c>
      <c r="B12" s="7">
        <v>176680000</v>
      </c>
      <c r="C12" s="7">
        <v>31590000</v>
      </c>
      <c r="F12"/>
    </row>
    <row r="13" spans="1:8" x14ac:dyDescent="0.25">
      <c r="A13" s="5" t="s">
        <v>133</v>
      </c>
      <c r="B13" s="7">
        <v>299810000</v>
      </c>
      <c r="C13" s="7">
        <v>77210000</v>
      </c>
      <c r="F13"/>
    </row>
    <row r="14" spans="1:8" x14ac:dyDescent="0.25">
      <c r="A14" s="5" t="s">
        <v>32</v>
      </c>
      <c r="B14" s="7">
        <v>292380000</v>
      </c>
      <c r="C14" s="7">
        <v>13870000</v>
      </c>
      <c r="F14" s="4" t="s">
        <v>529</v>
      </c>
      <c r="G14" t="s">
        <v>536</v>
      </c>
      <c r="H14" t="s">
        <v>539</v>
      </c>
    </row>
    <row r="15" spans="1:8" x14ac:dyDescent="0.25">
      <c r="A15" s="5" t="s">
        <v>134</v>
      </c>
      <c r="B15" s="7">
        <v>166960000</v>
      </c>
      <c r="C15" s="7">
        <v>8730000</v>
      </c>
      <c r="F15" s="5" t="s">
        <v>22</v>
      </c>
      <c r="G15" s="7">
        <v>2881920000</v>
      </c>
      <c r="H15" s="61">
        <v>2.9908000000000001</v>
      </c>
    </row>
    <row r="16" spans="1:8" x14ac:dyDescent="0.25">
      <c r="A16" s="5" t="s">
        <v>135</v>
      </c>
      <c r="B16" s="7">
        <v>142230000</v>
      </c>
      <c r="C16" s="7">
        <v>23750000</v>
      </c>
      <c r="F16" s="5" t="s">
        <v>36</v>
      </c>
      <c r="G16" s="7">
        <v>2977400000</v>
      </c>
      <c r="H16" s="61">
        <v>2.7233000000000001</v>
      </c>
    </row>
    <row r="17" spans="1:8" x14ac:dyDescent="0.25">
      <c r="A17" s="5" t="s">
        <v>136</v>
      </c>
      <c r="B17" s="7">
        <v>94200000</v>
      </c>
      <c r="C17" s="7">
        <v>73270000</v>
      </c>
      <c r="F17" s="5" t="s">
        <v>72</v>
      </c>
      <c r="G17" s="7">
        <v>3589890000</v>
      </c>
      <c r="H17" s="61">
        <v>3.5453000000000001</v>
      </c>
    </row>
    <row r="18" spans="1:8" x14ac:dyDescent="0.25">
      <c r="A18" s="5" t="s">
        <v>137</v>
      </c>
      <c r="B18" s="7">
        <v>36600000</v>
      </c>
      <c r="C18" s="7">
        <v>54880000</v>
      </c>
      <c r="F18" s="5" t="s">
        <v>14</v>
      </c>
      <c r="G18" s="7">
        <v>3449480000</v>
      </c>
      <c r="H18" s="61">
        <v>3.6231</v>
      </c>
    </row>
    <row r="19" spans="1:8" x14ac:dyDescent="0.25">
      <c r="A19" s="5" t="s">
        <v>138</v>
      </c>
      <c r="B19" s="7">
        <v>219440000</v>
      </c>
      <c r="C19" s="7">
        <v>12890000</v>
      </c>
      <c r="F19" s="5" t="s">
        <v>31</v>
      </c>
      <c r="G19" s="7">
        <v>3513410000</v>
      </c>
      <c r="H19" s="61">
        <v>3.5678999999999998</v>
      </c>
    </row>
    <row r="20" spans="1:8" x14ac:dyDescent="0.25">
      <c r="A20" s="5" t="s">
        <v>139</v>
      </c>
      <c r="B20" s="7">
        <v>58180000</v>
      </c>
      <c r="C20" s="7">
        <v>88230000</v>
      </c>
      <c r="F20" s="5" t="s">
        <v>18</v>
      </c>
      <c r="G20" s="7">
        <v>3189840000</v>
      </c>
      <c r="H20" s="61">
        <v>3.1715</v>
      </c>
    </row>
    <row r="21" spans="1:8" x14ac:dyDescent="0.25">
      <c r="A21" s="5" t="s">
        <v>140</v>
      </c>
      <c r="B21" s="7">
        <v>35030000</v>
      </c>
      <c r="C21" s="7">
        <v>39410000</v>
      </c>
      <c r="F21" s="5" t="s">
        <v>27</v>
      </c>
      <c r="G21" s="7">
        <v>2520830000</v>
      </c>
      <c r="H21" s="61">
        <v>2.4864000000000002</v>
      </c>
    </row>
    <row r="22" spans="1:8" x14ac:dyDescent="0.25">
      <c r="A22" s="5" t="s">
        <v>141</v>
      </c>
      <c r="B22" s="7">
        <v>126820000</v>
      </c>
      <c r="C22" s="7">
        <v>82800000</v>
      </c>
      <c r="F22" s="5" t="s">
        <v>10</v>
      </c>
      <c r="G22" s="7">
        <v>2538100000</v>
      </c>
      <c r="H22" s="61">
        <v>3.3563999999999998</v>
      </c>
    </row>
    <row r="23" spans="1:8" x14ac:dyDescent="0.25">
      <c r="A23" s="5" t="s">
        <v>142</v>
      </c>
      <c r="B23" s="7">
        <v>238700000</v>
      </c>
      <c r="C23" s="7">
        <v>78790000</v>
      </c>
      <c r="F23" s="5" t="s">
        <v>528</v>
      </c>
      <c r="G23" s="7">
        <v>24660870000</v>
      </c>
      <c r="H23" s="61">
        <v>25.464700000000001</v>
      </c>
    </row>
    <row r="24" spans="1:8" x14ac:dyDescent="0.25">
      <c r="A24" s="5" t="s">
        <v>143</v>
      </c>
      <c r="B24" s="7">
        <v>223650000</v>
      </c>
      <c r="C24" s="7">
        <v>62480000</v>
      </c>
      <c r="F24"/>
    </row>
    <row r="25" spans="1:8" x14ac:dyDescent="0.25">
      <c r="A25" s="5" t="s">
        <v>33</v>
      </c>
      <c r="B25" s="7">
        <v>234040000</v>
      </c>
      <c r="C25" s="7">
        <v>66340000</v>
      </c>
      <c r="F25"/>
    </row>
    <row r="26" spans="1:8" x14ac:dyDescent="0.25">
      <c r="A26" s="5" t="s">
        <v>144</v>
      </c>
      <c r="B26" s="7">
        <v>16940000</v>
      </c>
      <c r="C26" s="7">
        <v>49500000</v>
      </c>
      <c r="F26"/>
    </row>
    <row r="27" spans="1:8" x14ac:dyDescent="0.25">
      <c r="A27" s="5" t="s">
        <v>145</v>
      </c>
      <c r="B27" s="7">
        <v>136820000</v>
      </c>
      <c r="C27" s="7">
        <v>97960000</v>
      </c>
      <c r="F27"/>
    </row>
    <row r="28" spans="1:8" x14ac:dyDescent="0.25">
      <c r="A28" s="5" t="s">
        <v>146</v>
      </c>
      <c r="B28" s="7">
        <v>156970000</v>
      </c>
      <c r="C28" s="7">
        <v>14580000</v>
      </c>
      <c r="F28"/>
    </row>
    <row r="29" spans="1:8" x14ac:dyDescent="0.25">
      <c r="A29" s="5" t="s">
        <v>147</v>
      </c>
      <c r="B29" s="7">
        <v>193540000</v>
      </c>
      <c r="C29" s="7">
        <v>72540000</v>
      </c>
      <c r="F29"/>
    </row>
    <row r="30" spans="1:8" x14ac:dyDescent="0.25">
      <c r="A30" s="5" t="s">
        <v>148</v>
      </c>
      <c r="B30" s="7">
        <v>195230000</v>
      </c>
      <c r="C30" s="7">
        <v>19200000</v>
      </c>
      <c r="F30"/>
    </row>
    <row r="31" spans="1:8" x14ac:dyDescent="0.25">
      <c r="A31" s="5" t="s">
        <v>149</v>
      </c>
      <c r="B31" s="7">
        <v>109730000</v>
      </c>
      <c r="C31" s="7">
        <v>33890000</v>
      </c>
      <c r="F31"/>
    </row>
    <row r="32" spans="1:8" x14ac:dyDescent="0.25">
      <c r="A32" s="5" t="s">
        <v>150</v>
      </c>
      <c r="B32" s="7">
        <v>168420000</v>
      </c>
      <c r="C32" s="7">
        <v>30940000</v>
      </c>
      <c r="F32"/>
    </row>
    <row r="33" spans="1:6" x14ac:dyDescent="0.25">
      <c r="A33" s="5" t="s">
        <v>151</v>
      </c>
      <c r="B33" s="7">
        <v>144580000</v>
      </c>
      <c r="C33" s="7">
        <v>94710000</v>
      </c>
      <c r="F33"/>
    </row>
    <row r="34" spans="1:6" x14ac:dyDescent="0.25">
      <c r="A34" s="5" t="s">
        <v>152</v>
      </c>
      <c r="B34" s="7">
        <v>265560000</v>
      </c>
      <c r="C34" s="7">
        <v>96740000</v>
      </c>
      <c r="F34"/>
    </row>
    <row r="35" spans="1:6" x14ac:dyDescent="0.25">
      <c r="A35" s="5" t="s">
        <v>153</v>
      </c>
      <c r="B35" s="7">
        <v>159310000</v>
      </c>
      <c r="C35" s="7">
        <v>18380000</v>
      </c>
      <c r="F35"/>
    </row>
    <row r="36" spans="1:6" x14ac:dyDescent="0.25">
      <c r="A36" s="5" t="s">
        <v>34</v>
      </c>
      <c r="B36" s="7">
        <v>34710000</v>
      </c>
      <c r="C36" s="7">
        <v>290000</v>
      </c>
      <c r="F36"/>
    </row>
    <row r="37" spans="1:6" x14ac:dyDescent="0.25">
      <c r="A37" s="5" t="s">
        <v>154</v>
      </c>
      <c r="B37" s="7">
        <v>132590000</v>
      </c>
      <c r="C37" s="7">
        <v>2300000</v>
      </c>
      <c r="F37"/>
    </row>
    <row r="38" spans="1:6" x14ac:dyDescent="0.25">
      <c r="A38" s="5" t="s">
        <v>155</v>
      </c>
      <c r="B38" s="7">
        <v>121640000</v>
      </c>
      <c r="C38" s="7">
        <v>72030000</v>
      </c>
      <c r="F38"/>
    </row>
    <row r="39" spans="1:6" x14ac:dyDescent="0.25">
      <c r="A39" s="5" t="s">
        <v>156</v>
      </c>
      <c r="B39" s="7">
        <v>171940000</v>
      </c>
      <c r="C39" s="7">
        <v>41860000</v>
      </c>
      <c r="F39"/>
    </row>
    <row r="40" spans="1:6" x14ac:dyDescent="0.25">
      <c r="A40" s="5" t="s">
        <v>157</v>
      </c>
      <c r="B40" s="7">
        <v>241290000</v>
      </c>
      <c r="C40" s="7">
        <v>8980000</v>
      </c>
      <c r="F40"/>
    </row>
    <row r="41" spans="1:6" x14ac:dyDescent="0.25">
      <c r="A41" s="5" t="s">
        <v>158</v>
      </c>
      <c r="B41" s="7">
        <v>161750000</v>
      </c>
      <c r="C41" s="7">
        <v>68410000</v>
      </c>
      <c r="F41"/>
    </row>
    <row r="42" spans="1:6" x14ac:dyDescent="0.25">
      <c r="A42" s="5" t="s">
        <v>159</v>
      </c>
      <c r="B42" s="7">
        <v>198670000</v>
      </c>
      <c r="C42" s="7">
        <v>54560000</v>
      </c>
      <c r="F42"/>
    </row>
    <row r="43" spans="1:6" x14ac:dyDescent="0.25">
      <c r="A43" s="5" t="s">
        <v>160</v>
      </c>
      <c r="B43" s="7">
        <v>221490000</v>
      </c>
      <c r="C43" s="7">
        <v>98050000</v>
      </c>
      <c r="F43"/>
    </row>
    <row r="44" spans="1:6" x14ac:dyDescent="0.25">
      <c r="A44" s="5" t="s">
        <v>161</v>
      </c>
      <c r="B44" s="7">
        <v>156290000</v>
      </c>
      <c r="C44" s="7">
        <v>22820000</v>
      </c>
      <c r="F44"/>
    </row>
    <row r="45" spans="1:6" x14ac:dyDescent="0.25">
      <c r="A45" s="5" t="s">
        <v>162</v>
      </c>
      <c r="B45" s="7">
        <v>128330000</v>
      </c>
      <c r="C45" s="7">
        <v>40460000</v>
      </c>
      <c r="F45"/>
    </row>
    <row r="46" spans="1:6" x14ac:dyDescent="0.25">
      <c r="A46" s="5" t="s">
        <v>163</v>
      </c>
      <c r="B46" s="7">
        <v>263060000</v>
      </c>
      <c r="C46" s="7">
        <v>54300000</v>
      </c>
      <c r="F46"/>
    </row>
    <row r="47" spans="1:6" x14ac:dyDescent="0.25">
      <c r="A47" s="5" t="s">
        <v>35</v>
      </c>
      <c r="B47" s="7">
        <v>169950000</v>
      </c>
      <c r="C47" s="7">
        <v>17920000</v>
      </c>
      <c r="F47"/>
    </row>
    <row r="48" spans="1:6" x14ac:dyDescent="0.25">
      <c r="A48" s="5" t="s">
        <v>164</v>
      </c>
      <c r="B48" s="7">
        <v>125540000</v>
      </c>
      <c r="C48" s="7">
        <v>79190000</v>
      </c>
      <c r="F48"/>
    </row>
    <row r="49" spans="1:6" x14ac:dyDescent="0.25">
      <c r="A49" s="5" t="s">
        <v>165</v>
      </c>
      <c r="B49" s="7">
        <v>138850000</v>
      </c>
      <c r="C49" s="7">
        <v>54930000</v>
      </c>
      <c r="F49"/>
    </row>
    <row r="50" spans="1:6" x14ac:dyDescent="0.25">
      <c r="A50" s="5" t="s">
        <v>166</v>
      </c>
      <c r="B50" s="7">
        <v>297110000</v>
      </c>
      <c r="C50" s="7">
        <v>61330000</v>
      </c>
      <c r="F50"/>
    </row>
    <row r="51" spans="1:6" x14ac:dyDescent="0.25">
      <c r="A51" s="5" t="s">
        <v>167</v>
      </c>
      <c r="B51" s="7">
        <v>570000</v>
      </c>
      <c r="C51" s="7">
        <v>22690000</v>
      </c>
      <c r="F51"/>
    </row>
    <row r="52" spans="1:6" x14ac:dyDescent="0.25">
      <c r="A52" s="5" t="s">
        <v>168</v>
      </c>
      <c r="B52" s="7">
        <v>56050000</v>
      </c>
      <c r="C52" s="7">
        <v>84710000</v>
      </c>
      <c r="F52"/>
    </row>
    <row r="53" spans="1:6" x14ac:dyDescent="0.25">
      <c r="A53" s="5" t="s">
        <v>169</v>
      </c>
      <c r="B53" s="7">
        <v>115500000</v>
      </c>
      <c r="C53" s="7">
        <v>42920000</v>
      </c>
      <c r="F53"/>
    </row>
    <row r="54" spans="1:6" x14ac:dyDescent="0.25">
      <c r="A54" s="5" t="s">
        <v>170</v>
      </c>
      <c r="B54" s="7">
        <v>279810000</v>
      </c>
      <c r="C54" s="7">
        <v>14180000</v>
      </c>
      <c r="F54"/>
    </row>
    <row r="55" spans="1:6" x14ac:dyDescent="0.25">
      <c r="A55" s="5" t="s">
        <v>171</v>
      </c>
      <c r="B55" s="7">
        <v>21470000</v>
      </c>
      <c r="C55" s="7">
        <v>66450000</v>
      </c>
      <c r="F55"/>
    </row>
    <row r="56" spans="1:6" x14ac:dyDescent="0.25">
      <c r="A56" s="5" t="s">
        <v>172</v>
      </c>
      <c r="B56" s="7">
        <v>3340000</v>
      </c>
      <c r="C56" s="7">
        <v>21690000</v>
      </c>
      <c r="F56"/>
    </row>
    <row r="57" spans="1:6" x14ac:dyDescent="0.25">
      <c r="A57" s="5" t="s">
        <v>173</v>
      </c>
      <c r="B57" s="7">
        <v>16280000</v>
      </c>
      <c r="C57" s="7">
        <v>9850000</v>
      </c>
      <c r="F57"/>
    </row>
    <row r="58" spans="1:6" x14ac:dyDescent="0.25">
      <c r="A58" s="5" t="s">
        <v>37</v>
      </c>
      <c r="B58" s="7">
        <v>295620000</v>
      </c>
      <c r="C58" s="7">
        <v>3000000</v>
      </c>
      <c r="F58"/>
    </row>
    <row r="59" spans="1:6" x14ac:dyDescent="0.25">
      <c r="A59" s="5" t="s">
        <v>174</v>
      </c>
      <c r="B59" s="7">
        <v>27020000</v>
      </c>
      <c r="C59" s="7">
        <v>86210000</v>
      </c>
      <c r="F59"/>
    </row>
    <row r="60" spans="1:6" x14ac:dyDescent="0.25">
      <c r="A60" s="5" t="s">
        <v>175</v>
      </c>
      <c r="B60" s="7">
        <v>11760000</v>
      </c>
      <c r="C60" s="7">
        <v>46070000</v>
      </c>
      <c r="F60"/>
    </row>
    <row r="61" spans="1:6" x14ac:dyDescent="0.25">
      <c r="A61" s="5" t="s">
        <v>176</v>
      </c>
      <c r="B61" s="7">
        <v>144190000</v>
      </c>
      <c r="C61" s="7">
        <v>74950000</v>
      </c>
      <c r="F61"/>
    </row>
    <row r="62" spans="1:6" x14ac:dyDescent="0.25">
      <c r="A62" s="5" t="s">
        <v>177</v>
      </c>
      <c r="B62" s="7">
        <v>174440000</v>
      </c>
      <c r="C62" s="7">
        <v>29130000</v>
      </c>
      <c r="F62"/>
    </row>
    <row r="63" spans="1:6" x14ac:dyDescent="0.25">
      <c r="A63" s="5" t="s">
        <v>178</v>
      </c>
      <c r="B63" s="7">
        <v>81870000</v>
      </c>
      <c r="C63" s="7">
        <v>78720000</v>
      </c>
      <c r="F63"/>
    </row>
    <row r="64" spans="1:6" x14ac:dyDescent="0.25">
      <c r="A64" s="5" t="s">
        <v>179</v>
      </c>
      <c r="B64" s="7">
        <v>119790000</v>
      </c>
      <c r="C64" s="7">
        <v>11280000</v>
      </c>
      <c r="F64"/>
    </row>
    <row r="65" spans="1:6" x14ac:dyDescent="0.25">
      <c r="A65" s="5" t="s">
        <v>180</v>
      </c>
      <c r="B65" s="7">
        <v>27960000</v>
      </c>
      <c r="C65" s="7">
        <v>35660000</v>
      </c>
      <c r="F65"/>
    </row>
    <row r="66" spans="1:6" x14ac:dyDescent="0.25">
      <c r="A66" s="5" t="s">
        <v>181</v>
      </c>
      <c r="B66" s="7">
        <v>101240000</v>
      </c>
      <c r="C66" s="7">
        <v>97810000</v>
      </c>
      <c r="F66"/>
    </row>
    <row r="67" spans="1:6" x14ac:dyDescent="0.25">
      <c r="A67" s="5" t="s">
        <v>182</v>
      </c>
      <c r="B67" s="7">
        <v>156990000</v>
      </c>
      <c r="C67" s="7">
        <v>79420000</v>
      </c>
      <c r="F67"/>
    </row>
    <row r="68" spans="1:6" x14ac:dyDescent="0.25">
      <c r="A68" s="5" t="s">
        <v>183</v>
      </c>
      <c r="B68" s="7">
        <v>219820000</v>
      </c>
      <c r="C68" s="7">
        <v>49780000</v>
      </c>
      <c r="F68"/>
    </row>
    <row r="69" spans="1:6" x14ac:dyDescent="0.25">
      <c r="A69" s="5" t="s">
        <v>39</v>
      </c>
      <c r="B69" s="7">
        <v>141580000</v>
      </c>
      <c r="C69" s="7">
        <v>16770000</v>
      </c>
      <c r="F69"/>
    </row>
    <row r="70" spans="1:6" x14ac:dyDescent="0.25">
      <c r="A70" s="5" t="s">
        <v>184</v>
      </c>
      <c r="B70" s="7">
        <v>1500000</v>
      </c>
      <c r="C70" s="7">
        <v>34040000</v>
      </c>
      <c r="F70"/>
    </row>
    <row r="71" spans="1:6" x14ac:dyDescent="0.25">
      <c r="A71" s="5" t="s">
        <v>185</v>
      </c>
      <c r="B71" s="7">
        <v>140460000</v>
      </c>
      <c r="C71" s="7">
        <v>87230000</v>
      </c>
      <c r="F71"/>
    </row>
    <row r="72" spans="1:6" x14ac:dyDescent="0.25">
      <c r="A72" s="5" t="s">
        <v>186</v>
      </c>
      <c r="B72" s="7">
        <v>89450000</v>
      </c>
      <c r="C72" s="7">
        <v>54530000</v>
      </c>
      <c r="F72"/>
    </row>
    <row r="73" spans="1:6" x14ac:dyDescent="0.25">
      <c r="A73" s="5" t="s">
        <v>187</v>
      </c>
      <c r="B73" s="7">
        <v>255920000</v>
      </c>
      <c r="C73" s="7">
        <v>75870000</v>
      </c>
      <c r="F73"/>
    </row>
    <row r="74" spans="1:6" x14ac:dyDescent="0.25">
      <c r="A74" s="5" t="s">
        <v>188</v>
      </c>
      <c r="B74" s="7">
        <v>214810000</v>
      </c>
      <c r="C74" s="7">
        <v>75440000</v>
      </c>
      <c r="F74"/>
    </row>
    <row r="75" spans="1:6" x14ac:dyDescent="0.25">
      <c r="A75" s="5" t="s">
        <v>189</v>
      </c>
      <c r="B75" s="7">
        <v>176940000</v>
      </c>
      <c r="C75" s="7">
        <v>1890000</v>
      </c>
      <c r="F75"/>
    </row>
    <row r="76" spans="1:6" x14ac:dyDescent="0.25">
      <c r="A76" s="5" t="s">
        <v>190</v>
      </c>
      <c r="B76" s="7">
        <v>83540000</v>
      </c>
      <c r="C76" s="7">
        <v>12710000</v>
      </c>
      <c r="F76"/>
    </row>
    <row r="77" spans="1:6" x14ac:dyDescent="0.25">
      <c r="A77" s="5" t="s">
        <v>191</v>
      </c>
      <c r="B77" s="7">
        <v>273150000</v>
      </c>
      <c r="C77" s="7">
        <v>66000000</v>
      </c>
      <c r="F77"/>
    </row>
    <row r="78" spans="1:6" x14ac:dyDescent="0.25">
      <c r="A78" s="5" t="s">
        <v>192</v>
      </c>
      <c r="B78" s="7">
        <v>14010000</v>
      </c>
      <c r="C78" s="7">
        <v>16250000</v>
      </c>
      <c r="F78"/>
    </row>
    <row r="79" spans="1:6" x14ac:dyDescent="0.25">
      <c r="A79" s="5" t="s">
        <v>193</v>
      </c>
      <c r="B79" s="7">
        <v>33290000</v>
      </c>
      <c r="C79" s="7">
        <v>25620000</v>
      </c>
      <c r="F79"/>
    </row>
    <row r="80" spans="1:6" x14ac:dyDescent="0.25">
      <c r="A80" s="5" t="s">
        <v>40</v>
      </c>
      <c r="B80" s="7">
        <v>55040000</v>
      </c>
      <c r="C80" s="7">
        <v>18210000</v>
      </c>
      <c r="F80"/>
    </row>
    <row r="81" spans="1:6" x14ac:dyDescent="0.25">
      <c r="A81" s="5" t="s">
        <v>194</v>
      </c>
      <c r="B81" s="7">
        <v>117790000</v>
      </c>
      <c r="C81" s="7">
        <v>94670000</v>
      </c>
      <c r="F81"/>
    </row>
    <row r="82" spans="1:6" x14ac:dyDescent="0.25">
      <c r="A82" s="5" t="s">
        <v>195</v>
      </c>
      <c r="B82" s="7">
        <v>37770000</v>
      </c>
      <c r="C82" s="7">
        <v>56060000</v>
      </c>
      <c r="F82"/>
    </row>
    <row r="83" spans="1:6" x14ac:dyDescent="0.25">
      <c r="A83" s="5" t="s">
        <v>196</v>
      </c>
      <c r="B83" s="7">
        <v>286950000</v>
      </c>
      <c r="C83" s="7">
        <v>75100000</v>
      </c>
      <c r="F83"/>
    </row>
    <row r="84" spans="1:6" x14ac:dyDescent="0.25">
      <c r="A84" s="5" t="s">
        <v>197</v>
      </c>
      <c r="B84" s="7">
        <v>239500000</v>
      </c>
      <c r="C84" s="7">
        <v>55840000</v>
      </c>
      <c r="F84"/>
    </row>
    <row r="85" spans="1:6" x14ac:dyDescent="0.25">
      <c r="A85" s="5" t="s">
        <v>198</v>
      </c>
      <c r="B85" s="7">
        <v>78070000</v>
      </c>
      <c r="C85" s="7">
        <v>55300000</v>
      </c>
      <c r="F85"/>
    </row>
    <row r="86" spans="1:6" x14ac:dyDescent="0.25">
      <c r="A86" s="5" t="s">
        <v>199</v>
      </c>
      <c r="B86" s="7">
        <v>176770000</v>
      </c>
      <c r="C86" s="7">
        <v>9510000</v>
      </c>
      <c r="F86"/>
    </row>
    <row r="87" spans="1:6" x14ac:dyDescent="0.25">
      <c r="A87" s="5" t="s">
        <v>200</v>
      </c>
      <c r="B87" s="7">
        <v>294710000</v>
      </c>
      <c r="C87" s="7">
        <v>34430000</v>
      </c>
      <c r="F87"/>
    </row>
    <row r="88" spans="1:6" x14ac:dyDescent="0.25">
      <c r="A88" s="5" t="s">
        <v>201</v>
      </c>
      <c r="B88" s="7">
        <v>265320000</v>
      </c>
      <c r="C88" s="7">
        <v>28310000</v>
      </c>
      <c r="F88"/>
    </row>
    <row r="89" spans="1:6" x14ac:dyDescent="0.25">
      <c r="A89" s="5" t="s">
        <v>202</v>
      </c>
      <c r="B89" s="7">
        <v>180440000</v>
      </c>
      <c r="C89" s="7">
        <v>39130000</v>
      </c>
      <c r="F89"/>
    </row>
    <row r="90" spans="1:6" x14ac:dyDescent="0.25">
      <c r="A90" s="5" t="s">
        <v>203</v>
      </c>
      <c r="B90" s="7">
        <v>271170000</v>
      </c>
      <c r="C90" s="7">
        <v>79850000</v>
      </c>
      <c r="F90"/>
    </row>
    <row r="91" spans="1:6" x14ac:dyDescent="0.25">
      <c r="A91" s="5" t="s">
        <v>41</v>
      </c>
      <c r="B91" s="7">
        <v>145690000</v>
      </c>
      <c r="C91" s="7">
        <v>38830000</v>
      </c>
      <c r="F91"/>
    </row>
    <row r="92" spans="1:6" x14ac:dyDescent="0.25">
      <c r="A92" s="5" t="s">
        <v>204</v>
      </c>
      <c r="B92" s="7">
        <v>296760000</v>
      </c>
      <c r="C92" s="7">
        <v>37260000</v>
      </c>
      <c r="F92"/>
    </row>
    <row r="93" spans="1:6" x14ac:dyDescent="0.25">
      <c r="A93" s="5" t="s">
        <v>205</v>
      </c>
      <c r="B93" s="7">
        <v>223130000</v>
      </c>
      <c r="C93" s="7">
        <v>45220000</v>
      </c>
      <c r="F93"/>
    </row>
    <row r="94" spans="1:6" x14ac:dyDescent="0.25">
      <c r="A94" s="5" t="s">
        <v>206</v>
      </c>
      <c r="B94" s="7">
        <v>19960000</v>
      </c>
      <c r="C94" s="7">
        <v>39800000</v>
      </c>
      <c r="F94"/>
    </row>
    <row r="95" spans="1:6" x14ac:dyDescent="0.25">
      <c r="A95" s="5" t="s">
        <v>207</v>
      </c>
      <c r="B95" s="7">
        <v>120770000</v>
      </c>
      <c r="C95" s="7">
        <v>9430000</v>
      </c>
      <c r="F95"/>
    </row>
    <row r="96" spans="1:6" x14ac:dyDescent="0.25">
      <c r="A96" s="5" t="s">
        <v>208</v>
      </c>
      <c r="B96" s="7">
        <v>251430000</v>
      </c>
      <c r="C96" s="7">
        <v>44160000</v>
      </c>
      <c r="F96"/>
    </row>
    <row r="97" spans="1:6" x14ac:dyDescent="0.25">
      <c r="A97" s="5" t="s">
        <v>209</v>
      </c>
      <c r="B97" s="7">
        <v>69560000</v>
      </c>
      <c r="C97" s="7">
        <v>19640000</v>
      </c>
      <c r="F97"/>
    </row>
    <row r="98" spans="1:6" x14ac:dyDescent="0.25">
      <c r="A98" s="5" t="s">
        <v>210</v>
      </c>
      <c r="B98" s="7">
        <v>249280000</v>
      </c>
      <c r="C98" s="7">
        <v>18750000</v>
      </c>
      <c r="F98"/>
    </row>
    <row r="99" spans="1:6" x14ac:dyDescent="0.25">
      <c r="A99" s="5" t="s">
        <v>211</v>
      </c>
      <c r="B99" s="7">
        <v>36540000</v>
      </c>
      <c r="C99" s="7">
        <v>9490000</v>
      </c>
      <c r="F99"/>
    </row>
    <row r="100" spans="1:6" x14ac:dyDescent="0.25">
      <c r="A100" s="5" t="s">
        <v>212</v>
      </c>
      <c r="B100" s="7">
        <v>14560000</v>
      </c>
      <c r="C100" s="7">
        <v>35730000</v>
      </c>
      <c r="F100"/>
    </row>
    <row r="101" spans="1:6" x14ac:dyDescent="0.25">
      <c r="A101" s="5" t="s">
        <v>213</v>
      </c>
      <c r="B101" s="7">
        <v>115540000</v>
      </c>
      <c r="C101" s="7">
        <v>75770000</v>
      </c>
      <c r="F101"/>
    </row>
    <row r="102" spans="1:6" x14ac:dyDescent="0.25">
      <c r="A102" s="5" t="s">
        <v>42</v>
      </c>
      <c r="B102" s="7">
        <v>153980000</v>
      </c>
      <c r="C102" s="7">
        <v>40290000</v>
      </c>
      <c r="F102"/>
    </row>
    <row r="103" spans="1:6" x14ac:dyDescent="0.25">
      <c r="A103" s="5" t="s">
        <v>214</v>
      </c>
      <c r="B103" s="7">
        <v>11500000</v>
      </c>
      <c r="C103" s="7">
        <v>27720000</v>
      </c>
      <c r="F103"/>
    </row>
    <row r="104" spans="1:6" x14ac:dyDescent="0.25">
      <c r="A104" s="5" t="s">
        <v>215</v>
      </c>
      <c r="B104" s="7">
        <v>287200000</v>
      </c>
      <c r="C104" s="7">
        <v>31300000</v>
      </c>
      <c r="F104"/>
    </row>
    <row r="105" spans="1:6" x14ac:dyDescent="0.25">
      <c r="A105" s="5" t="s">
        <v>216</v>
      </c>
      <c r="B105" s="7">
        <v>247950000</v>
      </c>
      <c r="C105" s="7">
        <v>64300000</v>
      </c>
      <c r="F105"/>
    </row>
    <row r="106" spans="1:6" x14ac:dyDescent="0.25">
      <c r="A106" s="5" t="s">
        <v>217</v>
      </c>
      <c r="B106" s="7">
        <v>240330000</v>
      </c>
      <c r="C106" s="7">
        <v>19660000</v>
      </c>
      <c r="F106"/>
    </row>
    <row r="107" spans="1:6" x14ac:dyDescent="0.25">
      <c r="A107" s="5" t="s">
        <v>218</v>
      </c>
      <c r="B107" s="7">
        <v>189120000</v>
      </c>
      <c r="C107" s="7">
        <v>89710000</v>
      </c>
      <c r="F107"/>
    </row>
    <row r="108" spans="1:6" x14ac:dyDescent="0.25">
      <c r="A108" s="5" t="s">
        <v>219</v>
      </c>
      <c r="B108" s="7">
        <v>65290000</v>
      </c>
      <c r="C108" s="7">
        <v>52070000</v>
      </c>
      <c r="F108"/>
    </row>
    <row r="109" spans="1:6" x14ac:dyDescent="0.25">
      <c r="A109" s="5" t="s">
        <v>220</v>
      </c>
      <c r="B109" s="7">
        <v>155720000</v>
      </c>
      <c r="C109" s="7">
        <v>44820000</v>
      </c>
      <c r="F109"/>
    </row>
    <row r="110" spans="1:6" x14ac:dyDescent="0.25">
      <c r="A110" s="5" t="s">
        <v>221</v>
      </c>
      <c r="B110" s="7">
        <v>179380000</v>
      </c>
      <c r="C110" s="7">
        <v>55830000</v>
      </c>
      <c r="F110"/>
    </row>
    <row r="111" spans="1:6" x14ac:dyDescent="0.25">
      <c r="A111" s="5" t="s">
        <v>222</v>
      </c>
      <c r="B111" s="7">
        <v>157750000</v>
      </c>
      <c r="C111" s="7">
        <v>16690000</v>
      </c>
      <c r="F111"/>
    </row>
    <row r="112" spans="1:6" x14ac:dyDescent="0.25">
      <c r="A112" s="5" t="s">
        <v>223</v>
      </c>
      <c r="B112" s="7">
        <v>78440000</v>
      </c>
      <c r="C112" s="7">
        <v>61390000</v>
      </c>
      <c r="F112"/>
    </row>
    <row r="113" spans="1:6" x14ac:dyDescent="0.25">
      <c r="A113" s="5" t="s">
        <v>13</v>
      </c>
      <c r="B113" s="7">
        <v>247620000</v>
      </c>
      <c r="C113" s="7">
        <v>75650000</v>
      </c>
      <c r="F113"/>
    </row>
    <row r="114" spans="1:6" x14ac:dyDescent="0.25">
      <c r="A114" s="5" t="s">
        <v>43</v>
      </c>
      <c r="B114" s="7">
        <v>222640000</v>
      </c>
      <c r="C114" s="7">
        <v>87440000</v>
      </c>
      <c r="F114"/>
    </row>
    <row r="115" spans="1:6" x14ac:dyDescent="0.25">
      <c r="A115" s="5" t="s">
        <v>224</v>
      </c>
      <c r="B115" s="7">
        <v>154820000</v>
      </c>
      <c r="C115" s="7">
        <v>36370000</v>
      </c>
      <c r="F115"/>
    </row>
    <row r="116" spans="1:6" x14ac:dyDescent="0.25">
      <c r="A116" s="5" t="s">
        <v>225</v>
      </c>
      <c r="B116" s="7">
        <v>147610000</v>
      </c>
      <c r="C116" s="7">
        <v>89730000</v>
      </c>
      <c r="F116"/>
    </row>
    <row r="117" spans="1:6" x14ac:dyDescent="0.25">
      <c r="A117" s="5" t="s">
        <v>226</v>
      </c>
      <c r="B117" s="7">
        <v>298900000</v>
      </c>
      <c r="C117" s="7">
        <v>16970000</v>
      </c>
      <c r="F117"/>
    </row>
    <row r="118" spans="1:6" x14ac:dyDescent="0.25">
      <c r="A118" s="5" t="s">
        <v>227</v>
      </c>
      <c r="B118" s="7">
        <v>269280000</v>
      </c>
      <c r="C118" s="7">
        <v>50750000</v>
      </c>
      <c r="F118"/>
    </row>
    <row r="119" spans="1:6" x14ac:dyDescent="0.25">
      <c r="A119" s="5" t="s">
        <v>228</v>
      </c>
      <c r="B119" s="7">
        <v>139280000</v>
      </c>
      <c r="C119" s="7">
        <v>59850000</v>
      </c>
      <c r="F119"/>
    </row>
    <row r="120" spans="1:6" x14ac:dyDescent="0.25">
      <c r="A120" s="5" t="s">
        <v>229</v>
      </c>
      <c r="B120" s="7">
        <v>187070000</v>
      </c>
      <c r="C120" s="7">
        <v>3440000</v>
      </c>
      <c r="F120"/>
    </row>
    <row r="121" spans="1:6" x14ac:dyDescent="0.25">
      <c r="A121" s="5" t="s">
        <v>230</v>
      </c>
      <c r="B121" s="7">
        <v>224490000</v>
      </c>
      <c r="C121" s="7">
        <v>36430000</v>
      </c>
      <c r="F121"/>
    </row>
    <row r="122" spans="1:6" x14ac:dyDescent="0.25">
      <c r="A122" s="5" t="s">
        <v>231</v>
      </c>
      <c r="B122" s="7">
        <v>10940000</v>
      </c>
      <c r="C122" s="7">
        <v>73290000</v>
      </c>
      <c r="F122"/>
    </row>
    <row r="123" spans="1:6" x14ac:dyDescent="0.25">
      <c r="A123" s="5" t="s">
        <v>232</v>
      </c>
      <c r="B123" s="7">
        <v>268530000</v>
      </c>
      <c r="C123" s="7">
        <v>82060000</v>
      </c>
      <c r="F123"/>
    </row>
    <row r="124" spans="1:6" x14ac:dyDescent="0.25">
      <c r="A124" s="5" t="s">
        <v>233</v>
      </c>
      <c r="B124" s="7">
        <v>258110000</v>
      </c>
      <c r="C124" s="7">
        <v>31380000</v>
      </c>
      <c r="F124"/>
    </row>
    <row r="125" spans="1:6" x14ac:dyDescent="0.25">
      <c r="A125" s="5" t="s">
        <v>44</v>
      </c>
      <c r="B125" s="7">
        <v>209800000</v>
      </c>
      <c r="C125" s="7">
        <v>51060000</v>
      </c>
      <c r="F125"/>
    </row>
    <row r="126" spans="1:6" x14ac:dyDescent="0.25">
      <c r="A126" s="5" t="s">
        <v>234</v>
      </c>
      <c r="B126" s="7">
        <v>137500000</v>
      </c>
      <c r="C126" s="7">
        <v>79880000</v>
      </c>
      <c r="F126"/>
    </row>
    <row r="127" spans="1:6" x14ac:dyDescent="0.25">
      <c r="A127" s="5" t="s">
        <v>235</v>
      </c>
      <c r="B127" s="7">
        <v>117660000</v>
      </c>
      <c r="C127" s="7">
        <v>96780000</v>
      </c>
      <c r="F127"/>
    </row>
    <row r="128" spans="1:6" x14ac:dyDescent="0.25">
      <c r="A128" s="5" t="s">
        <v>236</v>
      </c>
      <c r="B128" s="7">
        <v>82250000</v>
      </c>
      <c r="C128" s="7">
        <v>85700000</v>
      </c>
      <c r="F128"/>
    </row>
    <row r="129" spans="1:6" x14ac:dyDescent="0.25">
      <c r="A129" s="5" t="s">
        <v>237</v>
      </c>
      <c r="B129" s="7">
        <v>143260000</v>
      </c>
      <c r="C129" s="7">
        <v>11850000</v>
      </c>
      <c r="F129"/>
    </row>
    <row r="130" spans="1:6" x14ac:dyDescent="0.25">
      <c r="A130" s="5" t="s">
        <v>238</v>
      </c>
      <c r="B130" s="7">
        <v>13790000</v>
      </c>
      <c r="C130" s="7">
        <v>74000000</v>
      </c>
      <c r="F130"/>
    </row>
    <row r="131" spans="1:6" x14ac:dyDescent="0.25">
      <c r="A131" s="5" t="s">
        <v>239</v>
      </c>
      <c r="B131" s="7">
        <v>255730000</v>
      </c>
      <c r="C131" s="7">
        <v>32030000</v>
      </c>
      <c r="F131"/>
    </row>
    <row r="132" spans="1:6" x14ac:dyDescent="0.25">
      <c r="A132" s="5" t="s">
        <v>240</v>
      </c>
      <c r="B132" s="7">
        <v>11110000</v>
      </c>
      <c r="C132" s="7">
        <v>98840000</v>
      </c>
      <c r="F132"/>
    </row>
    <row r="133" spans="1:6" x14ac:dyDescent="0.25">
      <c r="A133" s="5" t="s">
        <v>241</v>
      </c>
      <c r="B133" s="7">
        <v>99050000</v>
      </c>
      <c r="C133" s="7">
        <v>48590000</v>
      </c>
      <c r="F133"/>
    </row>
    <row r="134" spans="1:6" x14ac:dyDescent="0.25">
      <c r="A134" s="5" t="s">
        <v>242</v>
      </c>
      <c r="B134" s="7">
        <v>279510000</v>
      </c>
      <c r="C134" s="7">
        <v>12330000</v>
      </c>
      <c r="F134"/>
    </row>
    <row r="135" spans="1:6" x14ac:dyDescent="0.25">
      <c r="A135" s="5" t="s">
        <v>243</v>
      </c>
      <c r="B135" s="7">
        <v>220700000</v>
      </c>
      <c r="C135" s="7">
        <v>72550000</v>
      </c>
      <c r="F135"/>
    </row>
    <row r="136" spans="1:6" x14ac:dyDescent="0.25">
      <c r="A136" s="5" t="s">
        <v>45</v>
      </c>
      <c r="B136" s="7">
        <v>121060000</v>
      </c>
      <c r="C136" s="7">
        <v>72370000</v>
      </c>
      <c r="F136"/>
    </row>
    <row r="137" spans="1:6" x14ac:dyDescent="0.25">
      <c r="A137" s="5" t="s">
        <v>244</v>
      </c>
      <c r="B137" s="7">
        <v>84780000</v>
      </c>
      <c r="C137" s="7">
        <v>32370000</v>
      </c>
      <c r="F137"/>
    </row>
    <row r="138" spans="1:6" x14ac:dyDescent="0.25">
      <c r="A138" s="5" t="s">
        <v>245</v>
      </c>
      <c r="B138" s="7">
        <v>76170000</v>
      </c>
      <c r="C138" s="7">
        <v>99710000</v>
      </c>
      <c r="F138"/>
    </row>
    <row r="139" spans="1:6" x14ac:dyDescent="0.25">
      <c r="A139" s="5" t="s">
        <v>246</v>
      </c>
      <c r="B139" s="7">
        <v>2020000</v>
      </c>
      <c r="C139" s="7">
        <v>97980000</v>
      </c>
      <c r="F139"/>
    </row>
    <row r="140" spans="1:6" x14ac:dyDescent="0.25">
      <c r="A140" s="5" t="s">
        <v>247</v>
      </c>
      <c r="B140" s="7">
        <v>208870000</v>
      </c>
      <c r="C140" s="7">
        <v>65650000</v>
      </c>
      <c r="F140"/>
    </row>
    <row r="141" spans="1:6" x14ac:dyDescent="0.25">
      <c r="A141" s="5" t="s">
        <v>248</v>
      </c>
      <c r="B141" s="7">
        <v>15110000</v>
      </c>
      <c r="C141" s="7">
        <v>13070000</v>
      </c>
      <c r="F141"/>
    </row>
    <row r="142" spans="1:6" x14ac:dyDescent="0.25">
      <c r="A142" s="5" t="s">
        <v>249</v>
      </c>
      <c r="B142" s="7">
        <v>160010000</v>
      </c>
      <c r="C142" s="7">
        <v>68720000</v>
      </c>
      <c r="F142"/>
    </row>
    <row r="143" spans="1:6" x14ac:dyDescent="0.25">
      <c r="A143" s="5" t="s">
        <v>250</v>
      </c>
      <c r="B143" s="7">
        <v>288660000</v>
      </c>
      <c r="C143" s="7">
        <v>9390000</v>
      </c>
      <c r="F143"/>
    </row>
    <row r="144" spans="1:6" x14ac:dyDescent="0.25">
      <c r="A144" s="5" t="s">
        <v>251</v>
      </c>
      <c r="B144" s="7">
        <v>33290000</v>
      </c>
      <c r="C144" s="7">
        <v>3030000</v>
      </c>
      <c r="F144"/>
    </row>
    <row r="145" spans="1:6" x14ac:dyDescent="0.25">
      <c r="A145" s="5" t="s">
        <v>252</v>
      </c>
      <c r="B145" s="7">
        <v>268400000</v>
      </c>
      <c r="C145" s="7">
        <v>82310000</v>
      </c>
      <c r="F145"/>
    </row>
    <row r="146" spans="1:6" x14ac:dyDescent="0.25">
      <c r="A146" s="5" t="s">
        <v>253</v>
      </c>
      <c r="B146" s="7">
        <v>297450000</v>
      </c>
      <c r="C146" s="7">
        <v>21050000</v>
      </c>
      <c r="F146"/>
    </row>
    <row r="147" spans="1:6" x14ac:dyDescent="0.25">
      <c r="A147" s="5" t="s">
        <v>46</v>
      </c>
      <c r="B147" s="7">
        <v>65800000</v>
      </c>
      <c r="C147" s="7">
        <v>10500000</v>
      </c>
      <c r="F147"/>
    </row>
    <row r="148" spans="1:6" x14ac:dyDescent="0.25">
      <c r="A148" s="5" t="s">
        <v>254</v>
      </c>
      <c r="B148" s="7">
        <v>18920000</v>
      </c>
      <c r="C148" s="7">
        <v>37960000</v>
      </c>
      <c r="F148"/>
    </row>
    <row r="149" spans="1:6" x14ac:dyDescent="0.25">
      <c r="A149" s="5" t="s">
        <v>255</v>
      </c>
      <c r="B149" s="7">
        <v>264930000</v>
      </c>
      <c r="C149" s="7">
        <v>97350000</v>
      </c>
      <c r="F149"/>
    </row>
    <row r="150" spans="1:6" x14ac:dyDescent="0.25">
      <c r="A150" s="5" t="s">
        <v>256</v>
      </c>
      <c r="B150" s="7">
        <v>155070000</v>
      </c>
      <c r="C150" s="7">
        <v>33750000</v>
      </c>
      <c r="F150"/>
    </row>
    <row r="151" spans="1:6" x14ac:dyDescent="0.25">
      <c r="A151" s="5" t="s">
        <v>257</v>
      </c>
      <c r="B151" s="7">
        <v>272000000</v>
      </c>
      <c r="C151" s="7">
        <v>29720000</v>
      </c>
      <c r="F151"/>
    </row>
    <row r="152" spans="1:6" x14ac:dyDescent="0.25">
      <c r="A152" s="5" t="s">
        <v>258</v>
      </c>
      <c r="B152" s="7">
        <v>171610000</v>
      </c>
      <c r="C152" s="7">
        <v>91830000</v>
      </c>
      <c r="F152"/>
    </row>
    <row r="153" spans="1:6" x14ac:dyDescent="0.25">
      <c r="A153" s="5" t="s">
        <v>259</v>
      </c>
      <c r="B153" s="7">
        <v>198800000</v>
      </c>
      <c r="C153" s="7">
        <v>11160000</v>
      </c>
      <c r="F153"/>
    </row>
    <row r="154" spans="1:6" x14ac:dyDescent="0.25">
      <c r="A154" s="5" t="s">
        <v>260</v>
      </c>
      <c r="B154" s="7">
        <v>163360000</v>
      </c>
      <c r="C154" s="7">
        <v>75980000</v>
      </c>
      <c r="F154"/>
    </row>
    <row r="155" spans="1:6" x14ac:dyDescent="0.25">
      <c r="A155" s="5" t="s">
        <v>261</v>
      </c>
      <c r="B155" s="7">
        <v>259420000</v>
      </c>
      <c r="C155" s="7">
        <v>98810000</v>
      </c>
      <c r="F155"/>
    </row>
    <row r="156" spans="1:6" x14ac:dyDescent="0.25">
      <c r="A156" s="5" t="s">
        <v>262</v>
      </c>
      <c r="B156" s="7">
        <v>220310000</v>
      </c>
      <c r="C156" s="7">
        <v>90140000</v>
      </c>
      <c r="F156"/>
    </row>
    <row r="157" spans="1:6" x14ac:dyDescent="0.25">
      <c r="A157" s="5" t="s">
        <v>263</v>
      </c>
      <c r="B157" s="7">
        <v>156620000</v>
      </c>
      <c r="C157" s="7">
        <v>65200000</v>
      </c>
      <c r="F157"/>
    </row>
    <row r="158" spans="1:6" x14ac:dyDescent="0.25">
      <c r="A158" s="5" t="s">
        <v>47</v>
      </c>
      <c r="B158" s="7">
        <v>193690000</v>
      </c>
      <c r="C158" s="7">
        <v>22620000</v>
      </c>
      <c r="F158"/>
    </row>
    <row r="159" spans="1:6" x14ac:dyDescent="0.25">
      <c r="A159" s="5" t="s">
        <v>264</v>
      </c>
      <c r="B159" s="7">
        <v>260510000</v>
      </c>
      <c r="C159" s="7">
        <v>31470000</v>
      </c>
      <c r="F159"/>
    </row>
    <row r="160" spans="1:6" x14ac:dyDescent="0.25">
      <c r="A160" s="5" t="s">
        <v>265</v>
      </c>
      <c r="B160" s="7">
        <v>73960000</v>
      </c>
      <c r="C160" s="7">
        <v>25510000</v>
      </c>
      <c r="F160"/>
    </row>
    <row r="161" spans="1:6" x14ac:dyDescent="0.25">
      <c r="A161" s="5" t="s">
        <v>266</v>
      </c>
      <c r="B161" s="7">
        <v>47620000</v>
      </c>
      <c r="C161" s="7">
        <v>81940000</v>
      </c>
      <c r="F161"/>
    </row>
    <row r="162" spans="1:6" x14ac:dyDescent="0.25">
      <c r="A162" s="5" t="s">
        <v>267</v>
      </c>
      <c r="B162" s="7">
        <v>48540000</v>
      </c>
      <c r="C162" s="7">
        <v>87990000</v>
      </c>
      <c r="F162"/>
    </row>
    <row r="163" spans="1:6" x14ac:dyDescent="0.25">
      <c r="A163" s="5" t="s">
        <v>268</v>
      </c>
      <c r="B163" s="7">
        <v>100540000</v>
      </c>
      <c r="C163" s="7">
        <v>52590000</v>
      </c>
      <c r="F163"/>
    </row>
    <row r="164" spans="1:6" x14ac:dyDescent="0.25">
      <c r="A164" s="5" t="s">
        <v>269</v>
      </c>
      <c r="B164" s="7">
        <v>71990000</v>
      </c>
      <c r="C164" s="7">
        <v>24510000</v>
      </c>
      <c r="F164"/>
    </row>
    <row r="165" spans="1:6" x14ac:dyDescent="0.25">
      <c r="A165" s="5" t="s">
        <v>270</v>
      </c>
      <c r="B165" s="7">
        <v>279060000</v>
      </c>
      <c r="C165" s="7">
        <v>11380000</v>
      </c>
      <c r="F165"/>
    </row>
    <row r="166" spans="1:6" x14ac:dyDescent="0.25">
      <c r="A166" s="5" t="s">
        <v>271</v>
      </c>
      <c r="B166" s="7">
        <v>32200000</v>
      </c>
      <c r="C166" s="7">
        <v>8810000</v>
      </c>
      <c r="F166"/>
    </row>
    <row r="167" spans="1:6" x14ac:dyDescent="0.25">
      <c r="A167" s="5" t="s">
        <v>272</v>
      </c>
      <c r="B167" s="7">
        <v>209850000</v>
      </c>
      <c r="C167" s="7">
        <v>71940000</v>
      </c>
      <c r="F167"/>
    </row>
    <row r="168" spans="1:6" x14ac:dyDescent="0.25">
      <c r="A168" s="5" t="s">
        <v>273</v>
      </c>
      <c r="B168" s="7">
        <v>57170000</v>
      </c>
      <c r="C168" s="7">
        <v>42070000</v>
      </c>
      <c r="F168"/>
    </row>
    <row r="169" spans="1:6" x14ac:dyDescent="0.25">
      <c r="A169" s="5" t="s">
        <v>48</v>
      </c>
      <c r="B169" s="7">
        <v>126800000</v>
      </c>
      <c r="C169" s="7">
        <v>70320000</v>
      </c>
      <c r="F169"/>
    </row>
    <row r="170" spans="1:6" x14ac:dyDescent="0.25">
      <c r="A170" s="5" t="s">
        <v>274</v>
      </c>
      <c r="B170" s="7">
        <v>264550000</v>
      </c>
      <c r="C170" s="7">
        <v>90550000</v>
      </c>
      <c r="F170"/>
    </row>
    <row r="171" spans="1:6" x14ac:dyDescent="0.25">
      <c r="A171" s="5" t="s">
        <v>275</v>
      </c>
      <c r="B171" s="7">
        <v>288410000</v>
      </c>
      <c r="C171" s="7">
        <v>73990000</v>
      </c>
      <c r="F171"/>
    </row>
    <row r="172" spans="1:6" x14ac:dyDescent="0.25">
      <c r="A172" s="5" t="s">
        <v>276</v>
      </c>
      <c r="B172" s="7">
        <v>139910000</v>
      </c>
      <c r="C172" s="7">
        <v>19210000</v>
      </c>
      <c r="F172"/>
    </row>
    <row r="173" spans="1:6" x14ac:dyDescent="0.25">
      <c r="A173" s="5" t="s">
        <v>277</v>
      </c>
      <c r="B173" s="7">
        <v>263780000</v>
      </c>
      <c r="C173" s="7">
        <v>61420000</v>
      </c>
      <c r="F173"/>
    </row>
    <row r="174" spans="1:6" x14ac:dyDescent="0.25">
      <c r="A174" s="5" t="s">
        <v>278</v>
      </c>
      <c r="B174" s="7">
        <v>2040000</v>
      </c>
      <c r="C174" s="7">
        <v>43610000</v>
      </c>
      <c r="F174"/>
    </row>
    <row r="175" spans="1:6" x14ac:dyDescent="0.25">
      <c r="A175" s="5" t="s">
        <v>279</v>
      </c>
      <c r="B175" s="7">
        <v>246070000</v>
      </c>
      <c r="C175" s="7">
        <v>57770000</v>
      </c>
      <c r="F175"/>
    </row>
    <row r="176" spans="1:6" x14ac:dyDescent="0.25">
      <c r="A176" s="5" t="s">
        <v>280</v>
      </c>
      <c r="B176" s="7">
        <v>68970000</v>
      </c>
      <c r="C176" s="7">
        <v>73830000</v>
      </c>
      <c r="F176"/>
    </row>
    <row r="177" spans="1:6" x14ac:dyDescent="0.25">
      <c r="A177" s="5" t="s">
        <v>281</v>
      </c>
      <c r="B177" s="7">
        <v>272660000</v>
      </c>
      <c r="C177" s="7">
        <v>80640000</v>
      </c>
      <c r="F177"/>
    </row>
    <row r="178" spans="1:6" x14ac:dyDescent="0.25">
      <c r="A178" s="5" t="s">
        <v>282</v>
      </c>
      <c r="B178" s="7">
        <v>840000</v>
      </c>
      <c r="C178" s="7">
        <v>84390000</v>
      </c>
      <c r="F178"/>
    </row>
    <row r="179" spans="1:6" x14ac:dyDescent="0.25">
      <c r="A179" s="5" t="s">
        <v>283</v>
      </c>
      <c r="B179" s="7">
        <v>167080000</v>
      </c>
      <c r="C179" s="7">
        <v>25470000</v>
      </c>
      <c r="F179"/>
    </row>
    <row r="180" spans="1:6" x14ac:dyDescent="0.25">
      <c r="A180" s="5" t="s">
        <v>49</v>
      </c>
      <c r="B180" s="7">
        <v>40120000</v>
      </c>
      <c r="C180" s="7">
        <v>5380000</v>
      </c>
      <c r="F180"/>
    </row>
    <row r="181" spans="1:6" x14ac:dyDescent="0.25">
      <c r="A181" s="5" t="s">
        <v>284</v>
      </c>
      <c r="B181" s="7">
        <v>227110000</v>
      </c>
      <c r="C181" s="7">
        <v>3210000</v>
      </c>
      <c r="F181"/>
    </row>
    <row r="182" spans="1:6" x14ac:dyDescent="0.25">
      <c r="A182" s="5" t="s">
        <v>285</v>
      </c>
      <c r="B182" s="7">
        <v>77980000</v>
      </c>
      <c r="C182" s="7">
        <v>73960000</v>
      </c>
      <c r="F182"/>
    </row>
    <row r="183" spans="1:6" x14ac:dyDescent="0.25">
      <c r="A183" s="5" t="s">
        <v>286</v>
      </c>
      <c r="B183" s="7">
        <v>58340000</v>
      </c>
      <c r="C183" s="7">
        <v>10720000</v>
      </c>
      <c r="F183"/>
    </row>
    <row r="184" spans="1:6" x14ac:dyDescent="0.25">
      <c r="A184" s="5" t="s">
        <v>287</v>
      </c>
      <c r="B184" s="7">
        <v>25690000</v>
      </c>
      <c r="C184" s="7">
        <v>31560000</v>
      </c>
      <c r="F184"/>
    </row>
    <row r="185" spans="1:6" x14ac:dyDescent="0.25">
      <c r="A185" s="5" t="s">
        <v>288</v>
      </c>
      <c r="B185" s="7">
        <v>98270000</v>
      </c>
      <c r="C185" s="7">
        <v>480000</v>
      </c>
      <c r="F185"/>
    </row>
    <row r="186" spans="1:6" x14ac:dyDescent="0.25">
      <c r="A186" s="5" t="s">
        <v>289</v>
      </c>
      <c r="B186" s="7">
        <v>168170000</v>
      </c>
      <c r="C186" s="7">
        <v>68200000</v>
      </c>
      <c r="F186"/>
    </row>
    <row r="187" spans="1:6" x14ac:dyDescent="0.25">
      <c r="A187" s="5" t="s">
        <v>290</v>
      </c>
      <c r="B187" s="7">
        <v>35200000</v>
      </c>
      <c r="C187" s="7">
        <v>16800000</v>
      </c>
      <c r="F187"/>
    </row>
    <row r="188" spans="1:6" x14ac:dyDescent="0.25">
      <c r="A188" s="5" t="s">
        <v>291</v>
      </c>
      <c r="B188" s="7">
        <v>113320000</v>
      </c>
      <c r="C188" s="7">
        <v>65560000</v>
      </c>
      <c r="F188"/>
    </row>
    <row r="189" spans="1:6" x14ac:dyDescent="0.25">
      <c r="A189" s="5" t="s">
        <v>292</v>
      </c>
      <c r="B189" s="7">
        <v>3220000</v>
      </c>
      <c r="C189" s="7">
        <v>99180000</v>
      </c>
      <c r="F189"/>
    </row>
    <row r="190" spans="1:6" x14ac:dyDescent="0.25">
      <c r="A190" s="5" t="s">
        <v>293</v>
      </c>
      <c r="B190" s="7">
        <v>245690000</v>
      </c>
      <c r="C190" s="7">
        <v>7360000</v>
      </c>
      <c r="F190"/>
    </row>
    <row r="191" spans="1:6" x14ac:dyDescent="0.25">
      <c r="A191" s="5" t="s">
        <v>50</v>
      </c>
      <c r="B191" s="7">
        <v>270220000</v>
      </c>
      <c r="C191" s="7">
        <v>48710000</v>
      </c>
      <c r="F191"/>
    </row>
    <row r="192" spans="1:6" x14ac:dyDescent="0.25">
      <c r="A192" s="5" t="s">
        <v>294</v>
      </c>
      <c r="B192" s="7">
        <v>38970000</v>
      </c>
      <c r="C192" s="7">
        <v>7800000</v>
      </c>
      <c r="F192"/>
    </row>
    <row r="193" spans="1:6" x14ac:dyDescent="0.25">
      <c r="A193" s="5" t="s">
        <v>295</v>
      </c>
      <c r="B193" s="7">
        <v>85360000</v>
      </c>
      <c r="C193" s="7">
        <v>34100000</v>
      </c>
      <c r="F193"/>
    </row>
    <row r="194" spans="1:6" x14ac:dyDescent="0.25">
      <c r="A194" s="5" t="s">
        <v>296</v>
      </c>
      <c r="B194" s="7">
        <v>6020000</v>
      </c>
      <c r="C194" s="7">
        <v>86650000</v>
      </c>
      <c r="F194"/>
    </row>
    <row r="195" spans="1:6" x14ac:dyDescent="0.25">
      <c r="A195" s="5" t="s">
        <v>297</v>
      </c>
      <c r="B195" s="7">
        <v>129960000</v>
      </c>
      <c r="C195" s="7">
        <v>21630000</v>
      </c>
      <c r="F195"/>
    </row>
    <row r="196" spans="1:6" x14ac:dyDescent="0.25">
      <c r="A196" s="5" t="s">
        <v>298</v>
      </c>
      <c r="B196" s="7">
        <v>252120000</v>
      </c>
      <c r="C196" s="7">
        <v>36100000</v>
      </c>
      <c r="F196"/>
    </row>
    <row r="197" spans="1:6" x14ac:dyDescent="0.25">
      <c r="A197" s="5" t="s">
        <v>299</v>
      </c>
      <c r="B197" s="7">
        <v>117950000</v>
      </c>
      <c r="C197" s="7">
        <v>6940000</v>
      </c>
      <c r="F197"/>
    </row>
    <row r="198" spans="1:6" x14ac:dyDescent="0.25">
      <c r="A198" s="5" t="s">
        <v>300</v>
      </c>
      <c r="B198" s="7">
        <v>54260000</v>
      </c>
      <c r="C198" s="7">
        <v>76340000</v>
      </c>
      <c r="F198"/>
    </row>
    <row r="199" spans="1:6" x14ac:dyDescent="0.25">
      <c r="A199" s="5" t="s">
        <v>301</v>
      </c>
      <c r="B199" s="7">
        <v>226230000</v>
      </c>
      <c r="C199" s="7">
        <v>40890000</v>
      </c>
      <c r="F199"/>
    </row>
    <row r="200" spans="1:6" x14ac:dyDescent="0.25">
      <c r="A200" s="5" t="s">
        <v>302</v>
      </c>
      <c r="B200" s="7">
        <v>236750000</v>
      </c>
      <c r="C200" s="7">
        <v>75950000</v>
      </c>
      <c r="F200"/>
    </row>
    <row r="201" spans="1:6" x14ac:dyDescent="0.25">
      <c r="A201" s="5" t="s">
        <v>303</v>
      </c>
      <c r="B201" s="7">
        <v>52540000</v>
      </c>
      <c r="C201" s="7">
        <v>90370000</v>
      </c>
      <c r="F201"/>
    </row>
    <row r="202" spans="1:6" x14ac:dyDescent="0.25">
      <c r="A202" s="5" t="s">
        <v>51</v>
      </c>
      <c r="B202" s="7">
        <v>207520000</v>
      </c>
      <c r="C202" s="7">
        <v>59980000</v>
      </c>
      <c r="F202"/>
    </row>
    <row r="203" spans="1:6" x14ac:dyDescent="0.25">
      <c r="A203" s="5" t="s">
        <v>304</v>
      </c>
      <c r="B203" s="7">
        <v>231370000</v>
      </c>
      <c r="C203" s="7">
        <v>23350000</v>
      </c>
      <c r="F203"/>
    </row>
    <row r="204" spans="1:6" x14ac:dyDescent="0.25">
      <c r="A204" s="5" t="s">
        <v>305</v>
      </c>
      <c r="B204" s="7">
        <v>284220000</v>
      </c>
      <c r="C204" s="7">
        <v>80760000</v>
      </c>
      <c r="F204"/>
    </row>
    <row r="205" spans="1:6" x14ac:dyDescent="0.25">
      <c r="A205" s="5" t="s">
        <v>306</v>
      </c>
      <c r="B205" s="7">
        <v>50330000</v>
      </c>
      <c r="C205" s="7">
        <v>6000000</v>
      </c>
      <c r="F205"/>
    </row>
    <row r="206" spans="1:6" x14ac:dyDescent="0.25">
      <c r="A206" s="5" t="s">
        <v>307</v>
      </c>
      <c r="B206" s="7">
        <v>231410000</v>
      </c>
      <c r="C206" s="7">
        <v>89890000</v>
      </c>
      <c r="F206"/>
    </row>
    <row r="207" spans="1:6" x14ac:dyDescent="0.25">
      <c r="A207" s="5" t="s">
        <v>308</v>
      </c>
      <c r="B207" s="7">
        <v>212720000</v>
      </c>
      <c r="C207" s="7">
        <v>65110000</v>
      </c>
      <c r="F207"/>
    </row>
    <row r="208" spans="1:6" x14ac:dyDescent="0.25">
      <c r="A208" s="5" t="s">
        <v>309</v>
      </c>
      <c r="B208" s="7">
        <v>142340000</v>
      </c>
      <c r="C208" s="7">
        <v>87440000</v>
      </c>
      <c r="F208"/>
    </row>
    <row r="209" spans="1:6" x14ac:dyDescent="0.25">
      <c r="A209" s="5" t="s">
        <v>310</v>
      </c>
      <c r="B209" s="7">
        <v>17850000</v>
      </c>
      <c r="C209" s="7">
        <v>120000</v>
      </c>
      <c r="F209"/>
    </row>
    <row r="210" spans="1:6" x14ac:dyDescent="0.25">
      <c r="A210" s="5" t="s">
        <v>311</v>
      </c>
      <c r="B210" s="7">
        <v>22870000</v>
      </c>
      <c r="C210" s="7">
        <v>16990000</v>
      </c>
      <c r="F210"/>
    </row>
    <row r="211" spans="1:6" x14ac:dyDescent="0.25">
      <c r="A211" s="5" t="s">
        <v>312</v>
      </c>
      <c r="B211" s="7">
        <v>255800000</v>
      </c>
      <c r="C211" s="7">
        <v>39040000</v>
      </c>
      <c r="F211"/>
    </row>
    <row r="212" spans="1:6" x14ac:dyDescent="0.25">
      <c r="A212" s="5" t="s">
        <v>313</v>
      </c>
      <c r="B212" s="7">
        <v>297050000</v>
      </c>
      <c r="C212" s="7">
        <v>38010000</v>
      </c>
      <c r="F212"/>
    </row>
    <row r="213" spans="1:6" x14ac:dyDescent="0.25">
      <c r="A213" s="5" t="s">
        <v>52</v>
      </c>
      <c r="B213" s="7">
        <v>205110000</v>
      </c>
      <c r="C213" s="7">
        <v>60250000</v>
      </c>
      <c r="F213"/>
    </row>
    <row r="214" spans="1:6" x14ac:dyDescent="0.25">
      <c r="A214" s="5" t="s">
        <v>314</v>
      </c>
      <c r="B214" s="7">
        <v>202980000</v>
      </c>
      <c r="C214" s="7">
        <v>22750000</v>
      </c>
      <c r="F214"/>
    </row>
    <row r="215" spans="1:6" x14ac:dyDescent="0.25">
      <c r="A215" s="5" t="s">
        <v>315</v>
      </c>
      <c r="B215" s="7">
        <v>134060000</v>
      </c>
      <c r="C215" s="7">
        <v>38220000</v>
      </c>
      <c r="F215"/>
    </row>
    <row r="216" spans="1:6" x14ac:dyDescent="0.25">
      <c r="A216" s="5" t="s">
        <v>316</v>
      </c>
      <c r="B216" s="7">
        <v>194450000</v>
      </c>
      <c r="C216" s="7">
        <v>12970000</v>
      </c>
      <c r="F216"/>
    </row>
    <row r="217" spans="1:6" x14ac:dyDescent="0.25">
      <c r="A217" s="5" t="s">
        <v>317</v>
      </c>
      <c r="B217" s="7">
        <v>178520000</v>
      </c>
      <c r="C217" s="7">
        <v>41330000</v>
      </c>
      <c r="F217"/>
    </row>
    <row r="218" spans="1:6" x14ac:dyDescent="0.25">
      <c r="A218" s="5" t="s">
        <v>318</v>
      </c>
      <c r="B218" s="7">
        <v>115390000</v>
      </c>
      <c r="C218" s="7">
        <v>80260000</v>
      </c>
      <c r="F218"/>
    </row>
    <row r="219" spans="1:6" x14ac:dyDescent="0.25">
      <c r="A219" s="5" t="s">
        <v>319</v>
      </c>
      <c r="B219" s="7">
        <v>20160000</v>
      </c>
      <c r="C219" s="7">
        <v>47960000</v>
      </c>
      <c r="F219"/>
    </row>
    <row r="220" spans="1:6" x14ac:dyDescent="0.25">
      <c r="A220" s="5" t="s">
        <v>320</v>
      </c>
      <c r="B220" s="7">
        <v>246540000</v>
      </c>
      <c r="C220" s="7">
        <v>1900000</v>
      </c>
      <c r="F220"/>
    </row>
    <row r="221" spans="1:6" x14ac:dyDescent="0.25">
      <c r="A221" s="5" t="s">
        <v>321</v>
      </c>
      <c r="B221" s="7">
        <v>111860000</v>
      </c>
      <c r="C221" s="7">
        <v>42200000</v>
      </c>
      <c r="F221"/>
    </row>
    <row r="222" spans="1:6" x14ac:dyDescent="0.25">
      <c r="A222" s="5" t="s">
        <v>322</v>
      </c>
      <c r="B222" s="7">
        <v>245730000</v>
      </c>
      <c r="C222" s="7">
        <v>2810000</v>
      </c>
      <c r="F222"/>
    </row>
    <row r="223" spans="1:6" x14ac:dyDescent="0.25">
      <c r="A223" s="5" t="s">
        <v>323</v>
      </c>
      <c r="B223" s="7">
        <v>76130000</v>
      </c>
      <c r="C223" s="7">
        <v>96630000</v>
      </c>
      <c r="F223"/>
    </row>
    <row r="224" spans="1:6" x14ac:dyDescent="0.25">
      <c r="A224" s="5" t="s">
        <v>16</v>
      </c>
      <c r="B224" s="7">
        <v>109240000</v>
      </c>
      <c r="C224" s="7">
        <v>84210000</v>
      </c>
      <c r="F224"/>
    </row>
    <row r="225" spans="1:6" x14ac:dyDescent="0.25">
      <c r="A225" s="5" t="s">
        <v>53</v>
      </c>
      <c r="B225" s="7">
        <v>246860000</v>
      </c>
      <c r="C225" s="7">
        <v>2390000</v>
      </c>
      <c r="F225"/>
    </row>
    <row r="226" spans="1:6" x14ac:dyDescent="0.25">
      <c r="A226" s="5" t="s">
        <v>324</v>
      </c>
      <c r="B226" s="7">
        <v>810000</v>
      </c>
      <c r="C226" s="7">
        <v>12830000</v>
      </c>
      <c r="F226"/>
    </row>
    <row r="227" spans="1:6" x14ac:dyDescent="0.25">
      <c r="A227" s="5" t="s">
        <v>325</v>
      </c>
      <c r="B227" s="7">
        <v>48100000</v>
      </c>
      <c r="C227" s="7">
        <v>70800000</v>
      </c>
      <c r="F227"/>
    </row>
    <row r="228" spans="1:6" x14ac:dyDescent="0.25">
      <c r="A228" s="5" t="s">
        <v>326</v>
      </c>
      <c r="B228" s="7">
        <v>140830000</v>
      </c>
      <c r="C228" s="7">
        <v>97280000</v>
      </c>
      <c r="F228"/>
    </row>
    <row r="229" spans="1:6" x14ac:dyDescent="0.25">
      <c r="A229" s="5" t="s">
        <v>327</v>
      </c>
      <c r="B229" s="7">
        <v>283320000</v>
      </c>
      <c r="C229" s="7">
        <v>82620000</v>
      </c>
      <c r="F229"/>
    </row>
    <row r="230" spans="1:6" x14ac:dyDescent="0.25">
      <c r="A230" s="5" t="s">
        <v>328</v>
      </c>
      <c r="B230" s="7">
        <v>31110000</v>
      </c>
      <c r="C230" s="7">
        <v>69960000</v>
      </c>
      <c r="F230"/>
    </row>
    <row r="231" spans="1:6" x14ac:dyDescent="0.25">
      <c r="A231" s="5" t="s">
        <v>329</v>
      </c>
      <c r="B231" s="7">
        <v>256340000</v>
      </c>
      <c r="C231" s="7">
        <v>83960000</v>
      </c>
      <c r="F231"/>
    </row>
    <row r="232" spans="1:6" x14ac:dyDescent="0.25">
      <c r="A232" s="5" t="s">
        <v>330</v>
      </c>
      <c r="B232" s="7">
        <v>158340000</v>
      </c>
      <c r="C232" s="7">
        <v>98180000</v>
      </c>
      <c r="F232"/>
    </row>
    <row r="233" spans="1:6" x14ac:dyDescent="0.25">
      <c r="A233" s="5" t="s">
        <v>331</v>
      </c>
      <c r="B233" s="7">
        <v>247860000</v>
      </c>
      <c r="C233" s="7">
        <v>62170000</v>
      </c>
      <c r="F233"/>
    </row>
    <row r="234" spans="1:6" x14ac:dyDescent="0.25">
      <c r="A234" s="5" t="s">
        <v>332</v>
      </c>
      <c r="B234" s="7">
        <v>89860000</v>
      </c>
      <c r="C234" s="7">
        <v>55960000</v>
      </c>
      <c r="F234"/>
    </row>
    <row r="235" spans="1:6" x14ac:dyDescent="0.25">
      <c r="A235" s="5" t="s">
        <v>333</v>
      </c>
      <c r="B235" s="7">
        <v>252060000</v>
      </c>
      <c r="C235" s="7">
        <v>62860000</v>
      </c>
      <c r="F235"/>
    </row>
    <row r="236" spans="1:6" x14ac:dyDescent="0.25">
      <c r="A236" s="5" t="s">
        <v>54</v>
      </c>
      <c r="B236" s="7">
        <v>159130000</v>
      </c>
      <c r="C236" s="7">
        <v>32280000</v>
      </c>
      <c r="F236"/>
    </row>
    <row r="237" spans="1:6" x14ac:dyDescent="0.25">
      <c r="A237" s="5" t="s">
        <v>334</v>
      </c>
      <c r="B237" s="7">
        <v>231960000</v>
      </c>
      <c r="C237" s="7">
        <v>53310000</v>
      </c>
      <c r="F237"/>
    </row>
    <row r="238" spans="1:6" x14ac:dyDescent="0.25">
      <c r="A238" s="5" t="s">
        <v>335</v>
      </c>
      <c r="B238" s="7">
        <v>69400000</v>
      </c>
      <c r="C238" s="7">
        <v>63550000</v>
      </c>
      <c r="F238"/>
    </row>
    <row r="239" spans="1:6" x14ac:dyDescent="0.25">
      <c r="A239" s="5" t="s">
        <v>336</v>
      </c>
      <c r="B239" s="7">
        <v>39830000</v>
      </c>
      <c r="C239" s="7">
        <v>45040000</v>
      </c>
      <c r="F239"/>
    </row>
    <row r="240" spans="1:6" x14ac:dyDescent="0.25">
      <c r="A240" s="5" t="s">
        <v>337</v>
      </c>
      <c r="B240" s="7">
        <v>260480000</v>
      </c>
      <c r="C240" s="7">
        <v>21920000</v>
      </c>
      <c r="F240"/>
    </row>
    <row r="241" spans="1:6" x14ac:dyDescent="0.25">
      <c r="A241" s="5" t="s">
        <v>338</v>
      </c>
      <c r="B241" s="7">
        <v>288990000</v>
      </c>
      <c r="C241" s="7">
        <v>12110000</v>
      </c>
      <c r="F241"/>
    </row>
    <row r="242" spans="1:6" x14ac:dyDescent="0.25">
      <c r="A242" s="5" t="s">
        <v>339</v>
      </c>
      <c r="B242" s="7">
        <v>9880000</v>
      </c>
      <c r="C242" s="7">
        <v>6930000</v>
      </c>
      <c r="F242"/>
    </row>
    <row r="243" spans="1:6" x14ac:dyDescent="0.25">
      <c r="A243" s="5" t="s">
        <v>340</v>
      </c>
      <c r="B243" s="7">
        <v>219520000</v>
      </c>
      <c r="C243" s="7">
        <v>26410000</v>
      </c>
      <c r="F243"/>
    </row>
    <row r="244" spans="1:6" x14ac:dyDescent="0.25">
      <c r="A244" s="5" t="s">
        <v>341</v>
      </c>
      <c r="B244" s="7">
        <v>272900000</v>
      </c>
      <c r="C244" s="7">
        <v>4710000</v>
      </c>
      <c r="F244"/>
    </row>
    <row r="245" spans="1:6" x14ac:dyDescent="0.25">
      <c r="A245" s="5" t="s">
        <v>342</v>
      </c>
      <c r="B245" s="7">
        <v>257280000</v>
      </c>
      <c r="C245" s="7">
        <v>56760000</v>
      </c>
      <c r="F245"/>
    </row>
    <row r="246" spans="1:6" x14ac:dyDescent="0.25">
      <c r="A246" s="5" t="s">
        <v>343</v>
      </c>
      <c r="B246" s="7">
        <v>289370000</v>
      </c>
      <c r="C246" s="7">
        <v>28450000</v>
      </c>
      <c r="F246"/>
    </row>
    <row r="247" spans="1:6" x14ac:dyDescent="0.25">
      <c r="A247" s="5" t="s">
        <v>55</v>
      </c>
      <c r="B247" s="7">
        <v>244610000</v>
      </c>
      <c r="C247" s="7">
        <v>63690000</v>
      </c>
      <c r="F247"/>
    </row>
    <row r="248" spans="1:6" x14ac:dyDescent="0.25">
      <c r="A248" s="5" t="s">
        <v>344</v>
      </c>
      <c r="B248" s="7">
        <v>228150000</v>
      </c>
      <c r="C248" s="7">
        <v>82470000</v>
      </c>
      <c r="F248"/>
    </row>
    <row r="249" spans="1:6" x14ac:dyDescent="0.25">
      <c r="A249" s="5" t="s">
        <v>345</v>
      </c>
      <c r="B249" s="7">
        <v>132970000</v>
      </c>
      <c r="C249" s="7">
        <v>7520000</v>
      </c>
      <c r="F249"/>
    </row>
    <row r="250" spans="1:6" x14ac:dyDescent="0.25">
      <c r="A250" s="5" t="s">
        <v>346</v>
      </c>
      <c r="B250" s="7">
        <v>93930000</v>
      </c>
      <c r="C250" s="7">
        <v>22710000</v>
      </c>
      <c r="F250"/>
    </row>
    <row r="251" spans="1:6" x14ac:dyDescent="0.25">
      <c r="A251" s="5" t="s">
        <v>347</v>
      </c>
      <c r="B251" s="7">
        <v>96560000</v>
      </c>
      <c r="C251" s="7">
        <v>73050000</v>
      </c>
      <c r="F251"/>
    </row>
    <row r="252" spans="1:6" x14ac:dyDescent="0.25">
      <c r="A252" s="5" t="s">
        <v>348</v>
      </c>
      <c r="B252" s="7">
        <v>217460000</v>
      </c>
      <c r="C252" s="7">
        <v>59920000</v>
      </c>
      <c r="F252"/>
    </row>
    <row r="253" spans="1:6" x14ac:dyDescent="0.25">
      <c r="A253" s="5" t="s">
        <v>349</v>
      </c>
      <c r="B253" s="7">
        <v>223880000</v>
      </c>
      <c r="C253" s="7">
        <v>6540000</v>
      </c>
      <c r="F253"/>
    </row>
    <row r="254" spans="1:6" x14ac:dyDescent="0.25">
      <c r="A254" s="5" t="s">
        <v>350</v>
      </c>
      <c r="B254" s="7">
        <v>60510000</v>
      </c>
      <c r="C254" s="7">
        <v>87740000</v>
      </c>
      <c r="F254"/>
    </row>
    <row r="255" spans="1:6" x14ac:dyDescent="0.25">
      <c r="A255" s="5" t="s">
        <v>351</v>
      </c>
      <c r="B255" s="7">
        <v>260500000</v>
      </c>
      <c r="C255" s="7">
        <v>87740000</v>
      </c>
      <c r="F255"/>
    </row>
    <row r="256" spans="1:6" x14ac:dyDescent="0.25">
      <c r="A256" s="5" t="s">
        <v>352</v>
      </c>
      <c r="B256" s="7">
        <v>214620000</v>
      </c>
      <c r="C256" s="7">
        <v>33110000</v>
      </c>
      <c r="F256"/>
    </row>
    <row r="257" spans="1:6" x14ac:dyDescent="0.25">
      <c r="A257" s="5" t="s">
        <v>353</v>
      </c>
      <c r="B257" s="7">
        <v>169040000</v>
      </c>
      <c r="C257" s="7">
        <v>34110000</v>
      </c>
      <c r="F257"/>
    </row>
    <row r="258" spans="1:6" x14ac:dyDescent="0.25">
      <c r="A258" s="5" t="s">
        <v>56</v>
      </c>
      <c r="B258" s="7">
        <v>149680000</v>
      </c>
      <c r="C258" s="7">
        <v>14990000</v>
      </c>
      <c r="F258"/>
    </row>
    <row r="259" spans="1:6" x14ac:dyDescent="0.25">
      <c r="A259" s="5" t="s">
        <v>354</v>
      </c>
      <c r="B259" s="7">
        <v>141720000</v>
      </c>
      <c r="C259" s="7">
        <v>98900000</v>
      </c>
      <c r="F259"/>
    </row>
    <row r="260" spans="1:6" x14ac:dyDescent="0.25">
      <c r="A260" s="5" t="s">
        <v>355</v>
      </c>
      <c r="B260" s="7">
        <v>163200000</v>
      </c>
      <c r="C260" s="7">
        <v>62650000</v>
      </c>
      <c r="F260"/>
    </row>
    <row r="261" spans="1:6" x14ac:dyDescent="0.25">
      <c r="A261" s="5" t="s">
        <v>356</v>
      </c>
      <c r="B261" s="7">
        <v>48190000</v>
      </c>
      <c r="C261" s="7">
        <v>53180000</v>
      </c>
      <c r="F261"/>
    </row>
    <row r="262" spans="1:6" x14ac:dyDescent="0.25">
      <c r="A262" s="5" t="s">
        <v>357</v>
      </c>
      <c r="B262" s="7">
        <v>61510000</v>
      </c>
      <c r="C262" s="7">
        <v>83830000</v>
      </c>
      <c r="F262"/>
    </row>
    <row r="263" spans="1:6" x14ac:dyDescent="0.25">
      <c r="A263" s="5" t="s">
        <v>358</v>
      </c>
      <c r="B263" s="7">
        <v>27800000</v>
      </c>
      <c r="C263" s="7">
        <v>28600000</v>
      </c>
      <c r="F263"/>
    </row>
    <row r="264" spans="1:6" x14ac:dyDescent="0.25">
      <c r="A264" s="5" t="s">
        <v>359</v>
      </c>
      <c r="B264" s="7">
        <v>46520000</v>
      </c>
      <c r="C264" s="7">
        <v>42980000</v>
      </c>
      <c r="F264"/>
    </row>
    <row r="265" spans="1:6" x14ac:dyDescent="0.25">
      <c r="A265" s="5" t="s">
        <v>360</v>
      </c>
      <c r="B265" s="7">
        <v>136380000</v>
      </c>
      <c r="C265" s="7">
        <v>26850000</v>
      </c>
      <c r="F265"/>
    </row>
    <row r="266" spans="1:6" x14ac:dyDescent="0.25">
      <c r="A266" s="5" t="s">
        <v>361</v>
      </c>
      <c r="B266" s="7">
        <v>159340000</v>
      </c>
      <c r="C266" s="7">
        <v>78940000</v>
      </c>
      <c r="F266"/>
    </row>
    <row r="267" spans="1:6" x14ac:dyDescent="0.25">
      <c r="A267" s="5" t="s">
        <v>362</v>
      </c>
      <c r="B267" s="7">
        <v>5850000</v>
      </c>
      <c r="C267" s="7">
        <v>57380000</v>
      </c>
      <c r="F267"/>
    </row>
    <row r="268" spans="1:6" x14ac:dyDescent="0.25">
      <c r="A268" s="5" t="s">
        <v>363</v>
      </c>
      <c r="B268" s="7">
        <v>239140000</v>
      </c>
      <c r="C268" s="7">
        <v>65920000</v>
      </c>
      <c r="F268"/>
    </row>
    <row r="269" spans="1:6" x14ac:dyDescent="0.25">
      <c r="A269" s="5" t="s">
        <v>57</v>
      </c>
      <c r="B269" s="7">
        <v>20620000</v>
      </c>
      <c r="C269" s="7">
        <v>69570000</v>
      </c>
      <c r="F269"/>
    </row>
    <row r="270" spans="1:6" x14ac:dyDescent="0.25">
      <c r="A270" s="5" t="s">
        <v>364</v>
      </c>
      <c r="B270" s="7">
        <v>88600000</v>
      </c>
      <c r="C270" s="7">
        <v>25310000</v>
      </c>
      <c r="F270"/>
    </row>
    <row r="271" spans="1:6" x14ac:dyDescent="0.25">
      <c r="A271" s="5" t="s">
        <v>365</v>
      </c>
      <c r="B271" s="7">
        <v>273590000</v>
      </c>
      <c r="C271" s="7">
        <v>22100000</v>
      </c>
      <c r="F271"/>
    </row>
    <row r="272" spans="1:6" x14ac:dyDescent="0.25">
      <c r="A272" s="5" t="s">
        <v>366</v>
      </c>
      <c r="B272" s="7">
        <v>290270000</v>
      </c>
      <c r="C272" s="7">
        <v>48890000</v>
      </c>
      <c r="F272"/>
    </row>
    <row r="273" spans="1:6" x14ac:dyDescent="0.25">
      <c r="A273" s="5" t="s">
        <v>367</v>
      </c>
      <c r="B273" s="7">
        <v>56040000</v>
      </c>
      <c r="C273" s="7">
        <v>73780000</v>
      </c>
      <c r="F273"/>
    </row>
    <row r="274" spans="1:6" x14ac:dyDescent="0.25">
      <c r="A274" s="5" t="s">
        <v>368</v>
      </c>
      <c r="B274" s="7">
        <v>138900000</v>
      </c>
      <c r="C274" s="7">
        <v>52570000</v>
      </c>
      <c r="F274"/>
    </row>
    <row r="275" spans="1:6" x14ac:dyDescent="0.25">
      <c r="A275" s="5" t="s">
        <v>369</v>
      </c>
      <c r="B275" s="7">
        <v>870000</v>
      </c>
      <c r="C275" s="7">
        <v>3360000</v>
      </c>
      <c r="F275"/>
    </row>
    <row r="276" spans="1:6" x14ac:dyDescent="0.25">
      <c r="A276" s="5" t="s">
        <v>370</v>
      </c>
      <c r="B276" s="7">
        <v>179700000</v>
      </c>
      <c r="C276" s="7">
        <v>86870000</v>
      </c>
      <c r="F276"/>
    </row>
    <row r="277" spans="1:6" x14ac:dyDescent="0.25">
      <c r="A277" s="5" t="s">
        <v>371</v>
      </c>
      <c r="B277" s="7">
        <v>182390000</v>
      </c>
      <c r="C277" s="7">
        <v>6560000</v>
      </c>
      <c r="F277"/>
    </row>
    <row r="278" spans="1:6" x14ac:dyDescent="0.25">
      <c r="A278" s="5" t="s">
        <v>372</v>
      </c>
      <c r="B278" s="7">
        <v>74640000</v>
      </c>
      <c r="C278" s="7">
        <v>95590000</v>
      </c>
      <c r="F278"/>
    </row>
    <row r="279" spans="1:6" x14ac:dyDescent="0.25">
      <c r="A279" s="5" t="s">
        <v>373</v>
      </c>
      <c r="B279" s="7">
        <v>167740000</v>
      </c>
      <c r="C279" s="7">
        <v>2610000</v>
      </c>
      <c r="F279"/>
    </row>
    <row r="280" spans="1:6" x14ac:dyDescent="0.25">
      <c r="A280" s="5" t="s">
        <v>58</v>
      </c>
      <c r="B280" s="7">
        <v>121870000</v>
      </c>
      <c r="C280" s="7">
        <v>74620000</v>
      </c>
      <c r="F280"/>
    </row>
    <row r="281" spans="1:6" x14ac:dyDescent="0.25">
      <c r="A281" s="5" t="s">
        <v>374</v>
      </c>
      <c r="B281" s="7">
        <v>68050000</v>
      </c>
      <c r="C281" s="7">
        <v>69480000</v>
      </c>
      <c r="F281"/>
    </row>
    <row r="282" spans="1:6" x14ac:dyDescent="0.25">
      <c r="A282" s="5" t="s">
        <v>375</v>
      </c>
      <c r="B282" s="7">
        <v>48670000</v>
      </c>
      <c r="C282" s="7">
        <v>8310000</v>
      </c>
      <c r="F282"/>
    </row>
    <row r="283" spans="1:6" x14ac:dyDescent="0.25">
      <c r="A283" s="5" t="s">
        <v>376</v>
      </c>
      <c r="B283" s="7">
        <v>195630000</v>
      </c>
      <c r="C283" s="7">
        <v>91080000</v>
      </c>
      <c r="F283"/>
    </row>
    <row r="284" spans="1:6" x14ac:dyDescent="0.25">
      <c r="A284" s="5" t="s">
        <v>377</v>
      </c>
      <c r="B284" s="7">
        <v>98110000</v>
      </c>
      <c r="C284" s="7">
        <v>46500000</v>
      </c>
      <c r="F284"/>
    </row>
    <row r="285" spans="1:6" x14ac:dyDescent="0.25">
      <c r="A285" s="5" t="s">
        <v>378</v>
      </c>
      <c r="B285" s="7">
        <v>177280000</v>
      </c>
      <c r="C285" s="7">
        <v>13840000</v>
      </c>
      <c r="F285"/>
    </row>
    <row r="286" spans="1:6" x14ac:dyDescent="0.25">
      <c r="A286" s="5" t="s">
        <v>379</v>
      </c>
      <c r="B286" s="7">
        <v>130260000</v>
      </c>
      <c r="C286" s="7">
        <v>34150000</v>
      </c>
      <c r="F286"/>
    </row>
    <row r="287" spans="1:6" x14ac:dyDescent="0.25">
      <c r="A287" s="5" t="s">
        <v>380</v>
      </c>
      <c r="B287" s="7">
        <v>295310000</v>
      </c>
      <c r="C287" s="7">
        <v>16570000</v>
      </c>
      <c r="F287"/>
    </row>
    <row r="288" spans="1:6" x14ac:dyDescent="0.25">
      <c r="A288" s="5" t="s">
        <v>381</v>
      </c>
      <c r="B288" s="7">
        <v>45300000</v>
      </c>
      <c r="C288" s="7">
        <v>17140000</v>
      </c>
      <c r="F288"/>
    </row>
    <row r="289" spans="1:6" x14ac:dyDescent="0.25">
      <c r="A289" s="5" t="s">
        <v>382</v>
      </c>
      <c r="B289" s="7">
        <v>139650000</v>
      </c>
      <c r="C289" s="7">
        <v>94820000</v>
      </c>
      <c r="F289"/>
    </row>
    <row r="290" spans="1:6" x14ac:dyDescent="0.25">
      <c r="A290" s="5" t="s">
        <v>383</v>
      </c>
      <c r="B290" s="7">
        <v>204300000</v>
      </c>
      <c r="C290" s="7">
        <v>44580000</v>
      </c>
      <c r="F290"/>
    </row>
    <row r="291" spans="1:6" x14ac:dyDescent="0.25">
      <c r="A291" s="5" t="s">
        <v>59</v>
      </c>
      <c r="B291" s="7">
        <v>149490000</v>
      </c>
      <c r="C291" s="7">
        <v>98200000</v>
      </c>
      <c r="F291"/>
    </row>
    <row r="292" spans="1:6" x14ac:dyDescent="0.25">
      <c r="A292" s="5" t="s">
        <v>384</v>
      </c>
      <c r="B292" s="7">
        <v>118970000</v>
      </c>
      <c r="C292" s="7">
        <v>78900000</v>
      </c>
      <c r="F292"/>
    </row>
    <row r="293" spans="1:6" x14ac:dyDescent="0.25">
      <c r="A293" s="5" t="s">
        <v>385</v>
      </c>
      <c r="B293" s="7">
        <v>292420000</v>
      </c>
      <c r="C293" s="7">
        <v>64000000</v>
      </c>
      <c r="F293"/>
    </row>
    <row r="294" spans="1:6" x14ac:dyDescent="0.25">
      <c r="A294" s="5" t="s">
        <v>386</v>
      </c>
      <c r="B294" s="7">
        <v>216710000</v>
      </c>
      <c r="C294" s="7">
        <v>67670000</v>
      </c>
      <c r="F294"/>
    </row>
    <row r="295" spans="1:6" x14ac:dyDescent="0.25">
      <c r="A295" s="5" t="s">
        <v>387</v>
      </c>
      <c r="B295" s="7">
        <v>197270000</v>
      </c>
      <c r="C295" s="7">
        <v>13260000</v>
      </c>
      <c r="F295"/>
    </row>
    <row r="296" spans="1:6" x14ac:dyDescent="0.25">
      <c r="A296" s="5" t="s">
        <v>388</v>
      </c>
      <c r="B296" s="7">
        <v>227240000</v>
      </c>
      <c r="C296" s="7">
        <v>23500000</v>
      </c>
      <c r="F296"/>
    </row>
    <row r="297" spans="1:6" x14ac:dyDescent="0.25">
      <c r="A297" s="5" t="s">
        <v>389</v>
      </c>
      <c r="B297" s="7">
        <v>285820000</v>
      </c>
      <c r="C297" s="7">
        <v>78700000</v>
      </c>
      <c r="F297"/>
    </row>
    <row r="298" spans="1:6" x14ac:dyDescent="0.25">
      <c r="A298" s="5" t="s">
        <v>390</v>
      </c>
      <c r="B298" s="7">
        <v>272390000</v>
      </c>
      <c r="C298" s="7">
        <v>97080000</v>
      </c>
      <c r="F298"/>
    </row>
    <row r="299" spans="1:6" x14ac:dyDescent="0.25">
      <c r="A299" s="5" t="s">
        <v>391</v>
      </c>
      <c r="B299" s="7">
        <v>217420000</v>
      </c>
      <c r="C299" s="7">
        <v>26340000</v>
      </c>
      <c r="F299"/>
    </row>
    <row r="300" spans="1:6" x14ac:dyDescent="0.25">
      <c r="A300" s="5" t="s">
        <v>392</v>
      </c>
      <c r="B300" s="7">
        <v>224870000</v>
      </c>
      <c r="C300" s="7">
        <v>27230000</v>
      </c>
      <c r="F300"/>
    </row>
    <row r="301" spans="1:6" x14ac:dyDescent="0.25">
      <c r="A301" s="5" t="s">
        <v>393</v>
      </c>
      <c r="B301" s="7">
        <v>44200000</v>
      </c>
      <c r="C301" s="7">
        <v>47340000</v>
      </c>
      <c r="F301"/>
    </row>
    <row r="302" spans="1:6" x14ac:dyDescent="0.25">
      <c r="A302" s="5" t="s">
        <v>60</v>
      </c>
      <c r="B302" s="7">
        <v>216200000</v>
      </c>
      <c r="C302" s="7">
        <v>21060000</v>
      </c>
      <c r="F302"/>
    </row>
    <row r="303" spans="1:6" x14ac:dyDescent="0.25">
      <c r="A303" s="5" t="s">
        <v>394</v>
      </c>
      <c r="B303" s="7">
        <v>31290000</v>
      </c>
      <c r="C303" s="7">
        <v>98390000</v>
      </c>
      <c r="F303"/>
    </row>
    <row r="304" spans="1:6" x14ac:dyDescent="0.25">
      <c r="A304" s="5" t="s">
        <v>395</v>
      </c>
      <c r="B304" s="7">
        <v>171490000</v>
      </c>
      <c r="C304" s="7">
        <v>26970000</v>
      </c>
      <c r="F304"/>
    </row>
    <row r="305" spans="1:6" x14ac:dyDescent="0.25">
      <c r="A305" s="5" t="s">
        <v>396</v>
      </c>
      <c r="B305" s="7">
        <v>6000000</v>
      </c>
      <c r="C305" s="7">
        <v>40760000</v>
      </c>
      <c r="F305"/>
    </row>
    <row r="306" spans="1:6" x14ac:dyDescent="0.25">
      <c r="A306" s="5" t="s">
        <v>397</v>
      </c>
      <c r="B306" s="7">
        <v>144970000</v>
      </c>
      <c r="C306" s="7">
        <v>89160000</v>
      </c>
      <c r="F306"/>
    </row>
    <row r="307" spans="1:6" x14ac:dyDescent="0.25">
      <c r="A307" s="5" t="s">
        <v>398</v>
      </c>
      <c r="B307" s="7">
        <v>63500000</v>
      </c>
      <c r="C307" s="7">
        <v>390000</v>
      </c>
      <c r="F307"/>
    </row>
    <row r="308" spans="1:6" x14ac:dyDescent="0.25">
      <c r="A308" s="5" t="s">
        <v>399</v>
      </c>
      <c r="B308" s="7">
        <v>104130000</v>
      </c>
      <c r="C308" s="7">
        <v>4070000</v>
      </c>
      <c r="F308"/>
    </row>
    <row r="309" spans="1:6" x14ac:dyDescent="0.25">
      <c r="A309" s="5" t="s">
        <v>400</v>
      </c>
      <c r="B309" s="7">
        <v>232850000</v>
      </c>
      <c r="C309" s="7">
        <v>60450000</v>
      </c>
      <c r="F309"/>
    </row>
    <row r="310" spans="1:6" x14ac:dyDescent="0.25">
      <c r="A310" s="5" t="s">
        <v>401</v>
      </c>
      <c r="B310" s="7">
        <v>282400000</v>
      </c>
      <c r="C310" s="7">
        <v>90750000</v>
      </c>
      <c r="F310"/>
    </row>
    <row r="311" spans="1:6" x14ac:dyDescent="0.25">
      <c r="A311" s="5" t="s">
        <v>402</v>
      </c>
      <c r="B311" s="7">
        <v>22190000</v>
      </c>
      <c r="C311" s="7">
        <v>23960000</v>
      </c>
      <c r="F311"/>
    </row>
    <row r="312" spans="1:6" x14ac:dyDescent="0.25">
      <c r="A312" s="5" t="s">
        <v>403</v>
      </c>
      <c r="B312" s="7">
        <v>160510000</v>
      </c>
      <c r="C312" s="7">
        <v>47020000</v>
      </c>
      <c r="F312"/>
    </row>
    <row r="313" spans="1:6" x14ac:dyDescent="0.25">
      <c r="A313" s="5" t="s">
        <v>61</v>
      </c>
      <c r="B313" s="7">
        <v>32420000</v>
      </c>
      <c r="C313" s="7">
        <v>82530000</v>
      </c>
      <c r="F313"/>
    </row>
    <row r="314" spans="1:6" x14ac:dyDescent="0.25">
      <c r="A314" s="5" t="s">
        <v>404</v>
      </c>
      <c r="B314" s="7">
        <v>264820000</v>
      </c>
      <c r="C314" s="7">
        <v>45100000</v>
      </c>
      <c r="F314"/>
    </row>
    <row r="315" spans="1:6" x14ac:dyDescent="0.25">
      <c r="A315" s="5" t="s">
        <v>405</v>
      </c>
      <c r="B315" s="7">
        <v>25210000</v>
      </c>
      <c r="C315" s="7">
        <v>47350000</v>
      </c>
      <c r="F315"/>
    </row>
    <row r="316" spans="1:6" x14ac:dyDescent="0.25">
      <c r="A316" s="5" t="s">
        <v>406</v>
      </c>
      <c r="B316" s="7">
        <v>247440000</v>
      </c>
      <c r="C316" s="7">
        <v>62290000</v>
      </c>
      <c r="F316"/>
    </row>
    <row r="317" spans="1:6" x14ac:dyDescent="0.25">
      <c r="A317" s="5" t="s">
        <v>407</v>
      </c>
      <c r="B317" s="7">
        <v>107660000</v>
      </c>
      <c r="C317" s="7">
        <v>47030000</v>
      </c>
      <c r="F317"/>
    </row>
    <row r="318" spans="1:6" x14ac:dyDescent="0.25">
      <c r="A318" s="5" t="s">
        <v>408</v>
      </c>
      <c r="B318" s="7">
        <v>96970000</v>
      </c>
      <c r="C318" s="7">
        <v>44800000</v>
      </c>
      <c r="F318"/>
    </row>
    <row r="319" spans="1:6" x14ac:dyDescent="0.25">
      <c r="A319" s="5" t="s">
        <v>409</v>
      </c>
      <c r="B319" s="7">
        <v>293250000</v>
      </c>
      <c r="C319" s="7">
        <v>47480000</v>
      </c>
      <c r="F319"/>
    </row>
    <row r="320" spans="1:6" x14ac:dyDescent="0.25">
      <c r="A320" s="5" t="s">
        <v>410</v>
      </c>
      <c r="B320" s="7">
        <v>60660000</v>
      </c>
      <c r="C320" s="7">
        <v>59130000</v>
      </c>
      <c r="F320"/>
    </row>
    <row r="321" spans="1:6" x14ac:dyDescent="0.25">
      <c r="A321" s="5" t="s">
        <v>411</v>
      </c>
      <c r="B321" s="7">
        <v>208110000</v>
      </c>
      <c r="C321" s="7">
        <v>53750000</v>
      </c>
      <c r="F321"/>
    </row>
    <row r="322" spans="1:6" x14ac:dyDescent="0.25">
      <c r="A322" s="5" t="s">
        <v>412</v>
      </c>
      <c r="B322" s="7">
        <v>246520000</v>
      </c>
      <c r="C322" s="7">
        <v>85430000</v>
      </c>
      <c r="F322"/>
    </row>
    <row r="323" spans="1:6" x14ac:dyDescent="0.25">
      <c r="A323" s="5" t="s">
        <v>413</v>
      </c>
      <c r="B323" s="7">
        <v>12830000</v>
      </c>
      <c r="C323" s="7">
        <v>5040000</v>
      </c>
      <c r="F323"/>
    </row>
    <row r="324" spans="1:6" x14ac:dyDescent="0.25">
      <c r="A324" s="5" t="s">
        <v>62</v>
      </c>
      <c r="B324" s="7">
        <v>42440000</v>
      </c>
      <c r="C324" s="7">
        <v>52080000</v>
      </c>
      <c r="F324"/>
    </row>
    <row r="325" spans="1:6" x14ac:dyDescent="0.25">
      <c r="A325" s="5" t="s">
        <v>414</v>
      </c>
      <c r="B325" s="7">
        <v>201280000</v>
      </c>
      <c r="C325" s="7">
        <v>83350000</v>
      </c>
      <c r="F325"/>
    </row>
    <row r="326" spans="1:6" x14ac:dyDescent="0.25">
      <c r="A326" s="5" t="s">
        <v>415</v>
      </c>
      <c r="B326" s="7">
        <v>285490000</v>
      </c>
      <c r="C326" s="7">
        <v>84410000</v>
      </c>
      <c r="F326"/>
    </row>
    <row r="327" spans="1:6" x14ac:dyDescent="0.25">
      <c r="A327" s="5" t="s">
        <v>416</v>
      </c>
      <c r="B327" s="7">
        <v>37700000</v>
      </c>
      <c r="C327" s="7">
        <v>28560000</v>
      </c>
      <c r="F327"/>
    </row>
    <row r="328" spans="1:6" x14ac:dyDescent="0.25">
      <c r="A328" s="5" t="s">
        <v>417</v>
      </c>
      <c r="B328" s="7">
        <v>268920000</v>
      </c>
      <c r="C328" s="7">
        <v>46340000</v>
      </c>
      <c r="F328"/>
    </row>
    <row r="329" spans="1:6" x14ac:dyDescent="0.25">
      <c r="A329" s="5" t="s">
        <v>418</v>
      </c>
      <c r="B329" s="7">
        <v>178640000</v>
      </c>
      <c r="C329" s="7">
        <v>43910000</v>
      </c>
      <c r="F329"/>
    </row>
    <row r="330" spans="1:6" x14ac:dyDescent="0.25">
      <c r="A330" s="5" t="s">
        <v>419</v>
      </c>
      <c r="B330" s="7">
        <v>185170000</v>
      </c>
      <c r="C330" s="7">
        <v>21930000</v>
      </c>
      <c r="F330"/>
    </row>
    <row r="331" spans="1:6" x14ac:dyDescent="0.25">
      <c r="A331" s="5" t="s">
        <v>420</v>
      </c>
      <c r="B331" s="7">
        <v>184080000</v>
      </c>
      <c r="C331" s="7">
        <v>39740000</v>
      </c>
      <c r="F331"/>
    </row>
    <row r="332" spans="1:6" x14ac:dyDescent="0.25">
      <c r="A332" s="5" t="s">
        <v>421</v>
      </c>
      <c r="B332" s="7">
        <v>90000000</v>
      </c>
      <c r="C332" s="7">
        <v>4530000</v>
      </c>
      <c r="F332"/>
    </row>
    <row r="333" spans="1:6" x14ac:dyDescent="0.25">
      <c r="A333" s="5" t="s">
        <v>422</v>
      </c>
      <c r="B333" s="7">
        <v>280590000</v>
      </c>
      <c r="C333" s="7">
        <v>27850000</v>
      </c>
      <c r="F333"/>
    </row>
    <row r="334" spans="1:6" x14ac:dyDescent="0.25">
      <c r="A334" s="5" t="s">
        <v>423</v>
      </c>
      <c r="B334" s="7">
        <v>284230000</v>
      </c>
      <c r="C334" s="7">
        <v>81690000</v>
      </c>
      <c r="F334"/>
    </row>
    <row r="335" spans="1:6" x14ac:dyDescent="0.25">
      <c r="A335" s="5" t="s">
        <v>17</v>
      </c>
      <c r="B335" s="7">
        <v>10750000</v>
      </c>
      <c r="C335" s="7">
        <v>47080000</v>
      </c>
      <c r="F335"/>
    </row>
    <row r="336" spans="1:6" x14ac:dyDescent="0.25">
      <c r="A336" s="5" t="s">
        <v>63</v>
      </c>
      <c r="B336" s="7">
        <v>79470000</v>
      </c>
      <c r="C336" s="7">
        <v>37410000</v>
      </c>
      <c r="F336"/>
    </row>
    <row r="337" spans="1:6" x14ac:dyDescent="0.25">
      <c r="A337" s="5" t="s">
        <v>424</v>
      </c>
      <c r="B337" s="7">
        <v>187780000</v>
      </c>
      <c r="C337" s="7">
        <v>28530000</v>
      </c>
      <c r="F337"/>
    </row>
    <row r="338" spans="1:6" x14ac:dyDescent="0.25">
      <c r="A338" s="5" t="s">
        <v>425</v>
      </c>
      <c r="B338" s="7">
        <v>235140000</v>
      </c>
      <c r="C338" s="7">
        <v>81840000</v>
      </c>
      <c r="F338"/>
    </row>
    <row r="339" spans="1:6" x14ac:dyDescent="0.25">
      <c r="A339" s="5" t="s">
        <v>426</v>
      </c>
      <c r="B339" s="7">
        <v>183870000</v>
      </c>
      <c r="C339" s="7">
        <v>53210000</v>
      </c>
      <c r="F339"/>
    </row>
    <row r="340" spans="1:6" x14ac:dyDescent="0.25">
      <c r="A340" s="5" t="s">
        <v>427</v>
      </c>
      <c r="B340" s="7">
        <v>145580000</v>
      </c>
      <c r="C340" s="7">
        <v>88000000</v>
      </c>
      <c r="F340"/>
    </row>
    <row r="341" spans="1:6" x14ac:dyDescent="0.25">
      <c r="A341" s="5" t="s">
        <v>428</v>
      </c>
      <c r="B341" s="7">
        <v>198420000</v>
      </c>
      <c r="C341" s="7">
        <v>57520000</v>
      </c>
      <c r="F341"/>
    </row>
    <row r="342" spans="1:6" x14ac:dyDescent="0.25">
      <c r="A342" s="5" t="s">
        <v>429</v>
      </c>
      <c r="B342" s="7">
        <v>166120000</v>
      </c>
      <c r="C342" s="7">
        <v>3060000</v>
      </c>
      <c r="F342"/>
    </row>
    <row r="343" spans="1:6" x14ac:dyDescent="0.25">
      <c r="A343" s="5" t="s">
        <v>430</v>
      </c>
      <c r="B343" s="7">
        <v>179440000</v>
      </c>
      <c r="C343" s="7">
        <v>67570000</v>
      </c>
      <c r="F343"/>
    </row>
    <row r="344" spans="1:6" x14ac:dyDescent="0.25">
      <c r="A344" s="5" t="s">
        <v>431</v>
      </c>
      <c r="B344" s="7">
        <v>235260000</v>
      </c>
      <c r="C344" s="7">
        <v>4580000</v>
      </c>
      <c r="F344"/>
    </row>
    <row r="345" spans="1:6" x14ac:dyDescent="0.25">
      <c r="A345" s="5" t="s">
        <v>432</v>
      </c>
      <c r="B345" s="7">
        <v>144530000</v>
      </c>
      <c r="C345" s="7">
        <v>45110000</v>
      </c>
      <c r="F345"/>
    </row>
    <row r="346" spans="1:6" x14ac:dyDescent="0.25">
      <c r="A346" s="5" t="s">
        <v>433</v>
      </c>
      <c r="B346" s="7">
        <v>12710000</v>
      </c>
      <c r="C346" s="7">
        <v>92950000</v>
      </c>
      <c r="F346"/>
    </row>
    <row r="347" spans="1:6" x14ac:dyDescent="0.25">
      <c r="A347" s="5" t="s">
        <v>64</v>
      </c>
      <c r="B347" s="7">
        <v>80320000</v>
      </c>
      <c r="C347" s="7">
        <v>12330000</v>
      </c>
      <c r="F347"/>
    </row>
    <row r="348" spans="1:6" x14ac:dyDescent="0.25">
      <c r="A348" s="5" t="s">
        <v>434</v>
      </c>
      <c r="B348" s="7">
        <v>49620000</v>
      </c>
      <c r="C348" s="7">
        <v>16600000</v>
      </c>
      <c r="F348"/>
    </row>
    <row r="349" spans="1:6" x14ac:dyDescent="0.25">
      <c r="A349" s="5" t="s">
        <v>435</v>
      </c>
      <c r="B349" s="7">
        <v>131860000</v>
      </c>
      <c r="C349" s="7">
        <v>39050000</v>
      </c>
      <c r="F349"/>
    </row>
    <row r="350" spans="1:6" x14ac:dyDescent="0.25">
      <c r="A350" s="5" t="s">
        <v>436</v>
      </c>
      <c r="B350" s="7">
        <v>217590000</v>
      </c>
      <c r="C350" s="7">
        <v>73010000</v>
      </c>
      <c r="F350"/>
    </row>
    <row r="351" spans="1:6" x14ac:dyDescent="0.25">
      <c r="A351" s="5" t="s">
        <v>437</v>
      </c>
      <c r="B351" s="7">
        <v>178190000</v>
      </c>
      <c r="C351" s="7">
        <v>88240000</v>
      </c>
      <c r="F351"/>
    </row>
    <row r="352" spans="1:6" x14ac:dyDescent="0.25">
      <c r="A352" s="5" t="s">
        <v>438</v>
      </c>
      <c r="B352" s="7">
        <v>195260000</v>
      </c>
      <c r="C352" s="7">
        <v>67130000</v>
      </c>
      <c r="F352"/>
    </row>
    <row r="353" spans="1:6" x14ac:dyDescent="0.25">
      <c r="A353" s="5" t="s">
        <v>439</v>
      </c>
      <c r="B353" s="7">
        <v>144040000</v>
      </c>
      <c r="C353" s="7">
        <v>25890000</v>
      </c>
      <c r="F353"/>
    </row>
    <row r="354" spans="1:6" x14ac:dyDescent="0.25">
      <c r="A354" s="5" t="s">
        <v>440</v>
      </c>
      <c r="B354" s="7">
        <v>184910000</v>
      </c>
      <c r="C354" s="7">
        <v>67490000</v>
      </c>
      <c r="F354"/>
    </row>
    <row r="355" spans="1:6" x14ac:dyDescent="0.25">
      <c r="A355" s="5" t="s">
        <v>441</v>
      </c>
      <c r="B355" s="7">
        <v>99040000</v>
      </c>
      <c r="C355" s="7">
        <v>29740000</v>
      </c>
      <c r="F355"/>
    </row>
    <row r="356" spans="1:6" x14ac:dyDescent="0.25">
      <c r="A356" s="5" t="s">
        <v>442</v>
      </c>
      <c r="B356" s="7">
        <v>141320000</v>
      </c>
      <c r="C356" s="7">
        <v>71870000</v>
      </c>
      <c r="F356"/>
    </row>
    <row r="357" spans="1:6" x14ac:dyDescent="0.25">
      <c r="A357" s="5" t="s">
        <v>443</v>
      </c>
      <c r="B357" s="7">
        <v>223410000</v>
      </c>
      <c r="C357" s="7">
        <v>95410000</v>
      </c>
      <c r="F357"/>
    </row>
    <row r="358" spans="1:6" x14ac:dyDescent="0.25">
      <c r="A358" s="5" t="s">
        <v>65</v>
      </c>
      <c r="B358" s="7">
        <v>219790000</v>
      </c>
      <c r="C358" s="7">
        <v>73580000</v>
      </c>
      <c r="F358"/>
    </row>
    <row r="359" spans="1:6" x14ac:dyDescent="0.25">
      <c r="A359" s="5" t="s">
        <v>444</v>
      </c>
      <c r="B359" s="7">
        <v>261610000</v>
      </c>
      <c r="C359" s="7">
        <v>72170000</v>
      </c>
      <c r="F359"/>
    </row>
    <row r="360" spans="1:6" x14ac:dyDescent="0.25">
      <c r="A360" s="5" t="s">
        <v>445</v>
      </c>
      <c r="B360" s="7">
        <v>130380000</v>
      </c>
      <c r="C360" s="7">
        <v>86300000</v>
      </c>
      <c r="F360"/>
    </row>
    <row r="361" spans="1:6" x14ac:dyDescent="0.25">
      <c r="A361" s="5" t="s">
        <v>446</v>
      </c>
      <c r="B361" s="7">
        <v>13580000</v>
      </c>
      <c r="C361" s="7">
        <v>310000</v>
      </c>
      <c r="F361"/>
    </row>
    <row r="362" spans="1:6" x14ac:dyDescent="0.25">
      <c r="A362" s="5" t="s">
        <v>447</v>
      </c>
      <c r="B362" s="7">
        <v>48920000</v>
      </c>
      <c r="C362" s="7">
        <v>71790000</v>
      </c>
      <c r="F362"/>
    </row>
    <row r="363" spans="1:6" x14ac:dyDescent="0.25">
      <c r="A363" s="5" t="s">
        <v>448</v>
      </c>
      <c r="B363" s="7">
        <v>6750000</v>
      </c>
      <c r="C363" s="7">
        <v>82980000</v>
      </c>
      <c r="F363"/>
    </row>
    <row r="364" spans="1:6" x14ac:dyDescent="0.25">
      <c r="A364" s="5" t="s">
        <v>449</v>
      </c>
      <c r="B364" s="7">
        <v>196150000</v>
      </c>
      <c r="C364" s="7">
        <v>4150000</v>
      </c>
      <c r="F364"/>
    </row>
    <row r="365" spans="1:6" x14ac:dyDescent="0.25">
      <c r="A365" s="5" t="s">
        <v>450</v>
      </c>
      <c r="B365" s="7">
        <v>100030000</v>
      </c>
      <c r="C365" s="7">
        <v>87170000</v>
      </c>
      <c r="F365"/>
    </row>
    <row r="366" spans="1:6" x14ac:dyDescent="0.25">
      <c r="A366" s="5" t="s">
        <v>451</v>
      </c>
      <c r="B366" s="7">
        <v>162970000</v>
      </c>
      <c r="C366" s="7">
        <v>25740000</v>
      </c>
      <c r="F366"/>
    </row>
    <row r="367" spans="1:6" x14ac:dyDescent="0.25">
      <c r="A367" s="5" t="s">
        <v>452</v>
      </c>
      <c r="B367" s="7">
        <v>148240000</v>
      </c>
      <c r="C367" s="7">
        <v>66560000</v>
      </c>
      <c r="F367"/>
    </row>
    <row r="368" spans="1:6" x14ac:dyDescent="0.25">
      <c r="A368" s="5" t="s">
        <v>453</v>
      </c>
      <c r="B368" s="7">
        <v>24920000</v>
      </c>
      <c r="C368" s="7">
        <v>80060000</v>
      </c>
      <c r="F368"/>
    </row>
    <row r="369" spans="1:6" x14ac:dyDescent="0.25">
      <c r="A369" s="5" t="s">
        <v>66</v>
      </c>
      <c r="B369" s="7">
        <v>75590000</v>
      </c>
      <c r="C369" s="7">
        <v>23660000</v>
      </c>
      <c r="F369"/>
    </row>
    <row r="370" spans="1:6" x14ac:dyDescent="0.25">
      <c r="A370" s="5" t="s">
        <v>454</v>
      </c>
      <c r="B370" s="7">
        <v>121280000</v>
      </c>
      <c r="C370" s="7">
        <v>66300000</v>
      </c>
      <c r="F370"/>
    </row>
    <row r="371" spans="1:6" x14ac:dyDescent="0.25">
      <c r="A371" s="5" t="s">
        <v>455</v>
      </c>
      <c r="B371" s="7">
        <v>66560000</v>
      </c>
      <c r="C371" s="7">
        <v>9320000</v>
      </c>
      <c r="F371"/>
    </row>
    <row r="372" spans="1:6" x14ac:dyDescent="0.25">
      <c r="A372" s="5" t="s">
        <v>456</v>
      </c>
      <c r="B372" s="7">
        <v>125810000</v>
      </c>
      <c r="C372" s="7">
        <v>59670000</v>
      </c>
      <c r="F372"/>
    </row>
    <row r="373" spans="1:6" x14ac:dyDescent="0.25">
      <c r="A373" s="5" t="s">
        <v>457</v>
      </c>
      <c r="B373" s="7">
        <v>61470000</v>
      </c>
      <c r="C373" s="7">
        <v>55000000</v>
      </c>
      <c r="F373"/>
    </row>
    <row r="374" spans="1:6" x14ac:dyDescent="0.25">
      <c r="A374" s="5" t="s">
        <v>458</v>
      </c>
      <c r="B374" s="7">
        <v>252220000</v>
      </c>
      <c r="C374" s="7">
        <v>90040000</v>
      </c>
      <c r="F374"/>
    </row>
    <row r="375" spans="1:6" x14ac:dyDescent="0.25">
      <c r="A375" s="5" t="s">
        <v>459</v>
      </c>
      <c r="B375" s="7">
        <v>52670000</v>
      </c>
      <c r="C375" s="7">
        <v>40480000</v>
      </c>
      <c r="F375"/>
    </row>
    <row r="376" spans="1:6" x14ac:dyDescent="0.25">
      <c r="A376" s="5" t="s">
        <v>460</v>
      </c>
      <c r="B376" s="7">
        <v>288250000</v>
      </c>
      <c r="C376" s="7">
        <v>32180000</v>
      </c>
      <c r="F376"/>
    </row>
    <row r="377" spans="1:6" x14ac:dyDescent="0.25">
      <c r="A377" s="5" t="s">
        <v>461</v>
      </c>
      <c r="B377" s="7">
        <v>125060000</v>
      </c>
      <c r="C377" s="7">
        <v>75010000</v>
      </c>
      <c r="F377"/>
    </row>
    <row r="378" spans="1:6" x14ac:dyDescent="0.25">
      <c r="A378" s="5" t="s">
        <v>462</v>
      </c>
      <c r="B378" s="7">
        <v>253950000</v>
      </c>
      <c r="C378" s="7">
        <v>41330000</v>
      </c>
      <c r="F378"/>
    </row>
    <row r="379" spans="1:6" x14ac:dyDescent="0.25">
      <c r="A379" s="5" t="s">
        <v>463</v>
      </c>
      <c r="B379" s="7">
        <v>188820000</v>
      </c>
      <c r="C379" s="7">
        <v>64650000</v>
      </c>
      <c r="F379"/>
    </row>
    <row r="380" spans="1:6" x14ac:dyDescent="0.25">
      <c r="A380" s="5" t="s">
        <v>67</v>
      </c>
      <c r="B380" s="7">
        <v>190110000</v>
      </c>
      <c r="C380" s="7">
        <v>37210000</v>
      </c>
      <c r="F380"/>
    </row>
    <row r="381" spans="1:6" x14ac:dyDescent="0.25">
      <c r="A381" s="5" t="s">
        <v>464</v>
      </c>
      <c r="B381" s="7">
        <v>220740000</v>
      </c>
      <c r="C381" s="7">
        <v>64680000</v>
      </c>
      <c r="F381"/>
    </row>
    <row r="382" spans="1:6" x14ac:dyDescent="0.25">
      <c r="A382" s="5" t="s">
        <v>465</v>
      </c>
      <c r="B382" s="7">
        <v>230430000</v>
      </c>
      <c r="C382" s="7">
        <v>88820000</v>
      </c>
      <c r="F382"/>
    </row>
    <row r="383" spans="1:6" x14ac:dyDescent="0.25">
      <c r="A383" s="5" t="s">
        <v>466</v>
      </c>
      <c r="B383" s="7">
        <v>151700000</v>
      </c>
      <c r="C383" s="7">
        <v>59910000</v>
      </c>
      <c r="F383"/>
    </row>
    <row r="384" spans="1:6" x14ac:dyDescent="0.25">
      <c r="A384" s="5" t="s">
        <v>467</v>
      </c>
      <c r="B384" s="7">
        <v>163220000</v>
      </c>
      <c r="C384" s="7">
        <v>50270000</v>
      </c>
      <c r="F384"/>
    </row>
    <row r="385" spans="1:6" x14ac:dyDescent="0.25">
      <c r="A385" s="5" t="s">
        <v>468</v>
      </c>
      <c r="B385" s="7">
        <v>154440000</v>
      </c>
      <c r="C385" s="7">
        <v>13970000</v>
      </c>
      <c r="F385"/>
    </row>
    <row r="386" spans="1:6" x14ac:dyDescent="0.25">
      <c r="A386" s="5" t="s">
        <v>469</v>
      </c>
      <c r="B386" s="7">
        <v>176620000</v>
      </c>
      <c r="C386" s="7">
        <v>11660000</v>
      </c>
      <c r="F386"/>
    </row>
    <row r="387" spans="1:6" x14ac:dyDescent="0.25">
      <c r="A387" s="5" t="s">
        <v>470</v>
      </c>
      <c r="B387" s="7">
        <v>9300000</v>
      </c>
      <c r="C387" s="7">
        <v>15520000</v>
      </c>
      <c r="F387"/>
    </row>
    <row r="388" spans="1:6" x14ac:dyDescent="0.25">
      <c r="A388" s="5" t="s">
        <v>471</v>
      </c>
      <c r="B388" s="7">
        <v>118960000</v>
      </c>
      <c r="C388" s="7">
        <v>17270000</v>
      </c>
      <c r="F388"/>
    </row>
    <row r="389" spans="1:6" x14ac:dyDescent="0.25">
      <c r="A389" s="5" t="s">
        <v>472</v>
      </c>
      <c r="B389" s="7">
        <v>182050000</v>
      </c>
      <c r="C389" s="7">
        <v>63820000</v>
      </c>
      <c r="F389"/>
    </row>
    <row r="390" spans="1:6" x14ac:dyDescent="0.25">
      <c r="A390" s="5" t="s">
        <v>473</v>
      </c>
      <c r="B390" s="7">
        <v>179520000</v>
      </c>
      <c r="C390" s="7">
        <v>74120000</v>
      </c>
      <c r="F390"/>
    </row>
    <row r="391" spans="1:6" x14ac:dyDescent="0.25">
      <c r="A391" s="5" t="s">
        <v>68</v>
      </c>
      <c r="B391" s="7">
        <v>148540000</v>
      </c>
      <c r="C391" s="7">
        <v>6350000</v>
      </c>
      <c r="F391"/>
    </row>
    <row r="392" spans="1:6" x14ac:dyDescent="0.25">
      <c r="A392" s="5" t="s">
        <v>474</v>
      </c>
      <c r="B392" s="7">
        <v>237990000</v>
      </c>
      <c r="C392" s="7">
        <v>53050000</v>
      </c>
      <c r="F392"/>
    </row>
    <row r="393" spans="1:6" x14ac:dyDescent="0.25">
      <c r="A393" s="5" t="s">
        <v>475</v>
      </c>
      <c r="B393" s="7">
        <v>196680000</v>
      </c>
      <c r="C393" s="7">
        <v>82920000</v>
      </c>
      <c r="F393"/>
    </row>
    <row r="394" spans="1:6" x14ac:dyDescent="0.25">
      <c r="A394" s="5" t="s">
        <v>476</v>
      </c>
      <c r="B394" s="7">
        <v>297640000</v>
      </c>
      <c r="C394" s="7">
        <v>99130000</v>
      </c>
      <c r="F394"/>
    </row>
    <row r="395" spans="1:6" x14ac:dyDescent="0.25">
      <c r="A395" s="5" t="s">
        <v>477</v>
      </c>
      <c r="B395" s="7">
        <v>85510000</v>
      </c>
      <c r="C395" s="7">
        <v>82020000</v>
      </c>
      <c r="F395"/>
    </row>
    <row r="396" spans="1:6" x14ac:dyDescent="0.25">
      <c r="A396" s="5" t="s">
        <v>478</v>
      </c>
      <c r="B396" s="7">
        <v>108070000</v>
      </c>
      <c r="C396" s="7">
        <v>69520000</v>
      </c>
      <c r="F396"/>
    </row>
    <row r="397" spans="1:6" x14ac:dyDescent="0.25">
      <c r="A397" s="5" t="s">
        <v>479</v>
      </c>
      <c r="B397" s="7">
        <v>115460000</v>
      </c>
      <c r="C397" s="7">
        <v>53300000</v>
      </c>
      <c r="F397"/>
    </row>
    <row r="398" spans="1:6" x14ac:dyDescent="0.25">
      <c r="A398" s="5" t="s">
        <v>480</v>
      </c>
      <c r="B398" s="7">
        <v>140010000</v>
      </c>
      <c r="C398" s="7">
        <v>44940000</v>
      </c>
      <c r="F398"/>
    </row>
    <row r="399" spans="1:6" x14ac:dyDescent="0.25">
      <c r="A399" s="5" t="s">
        <v>481</v>
      </c>
      <c r="B399" s="7">
        <v>250880000</v>
      </c>
      <c r="C399" s="7">
        <v>8530000</v>
      </c>
      <c r="F399"/>
    </row>
    <row r="400" spans="1:6" x14ac:dyDescent="0.25">
      <c r="A400" s="5" t="s">
        <v>482</v>
      </c>
      <c r="B400" s="7">
        <v>71120000</v>
      </c>
      <c r="C400" s="7">
        <v>40000000</v>
      </c>
      <c r="F400"/>
    </row>
    <row r="401" spans="1:6" x14ac:dyDescent="0.25">
      <c r="A401" s="5" t="s">
        <v>483</v>
      </c>
      <c r="B401" s="7">
        <v>232910000</v>
      </c>
      <c r="C401" s="7">
        <v>91020000</v>
      </c>
      <c r="F401"/>
    </row>
    <row r="402" spans="1:6" x14ac:dyDescent="0.25">
      <c r="A402" s="5" t="s">
        <v>69</v>
      </c>
      <c r="B402" s="7">
        <v>172200000</v>
      </c>
      <c r="C402" s="7">
        <v>80160000</v>
      </c>
      <c r="F402"/>
    </row>
    <row r="403" spans="1:6" x14ac:dyDescent="0.25">
      <c r="A403" s="5" t="s">
        <v>484</v>
      </c>
      <c r="B403" s="7">
        <v>121890000</v>
      </c>
      <c r="C403" s="7">
        <v>80820000</v>
      </c>
      <c r="F403"/>
    </row>
    <row r="404" spans="1:6" x14ac:dyDescent="0.25">
      <c r="A404" s="5" t="s">
        <v>485</v>
      </c>
      <c r="B404" s="7">
        <v>180760000</v>
      </c>
      <c r="C404" s="7">
        <v>21680000</v>
      </c>
      <c r="F404"/>
    </row>
    <row r="405" spans="1:6" x14ac:dyDescent="0.25">
      <c r="A405" s="5" t="s">
        <v>486</v>
      </c>
      <c r="B405" s="7">
        <v>189950000</v>
      </c>
      <c r="C405" s="7">
        <v>46710000</v>
      </c>
      <c r="F405"/>
    </row>
    <row r="406" spans="1:6" x14ac:dyDescent="0.25">
      <c r="A406" s="5" t="s">
        <v>487</v>
      </c>
      <c r="B406" s="7">
        <v>112170000</v>
      </c>
      <c r="C406" s="7">
        <v>81690000</v>
      </c>
      <c r="F406"/>
    </row>
    <row r="407" spans="1:6" x14ac:dyDescent="0.25">
      <c r="A407" s="5" t="s">
        <v>488</v>
      </c>
      <c r="B407" s="7">
        <v>154030000</v>
      </c>
      <c r="C407" s="7">
        <v>6830000</v>
      </c>
      <c r="F407"/>
    </row>
    <row r="408" spans="1:6" x14ac:dyDescent="0.25">
      <c r="A408" s="5" t="s">
        <v>489</v>
      </c>
      <c r="B408" s="7">
        <v>124200000</v>
      </c>
      <c r="C408" s="7">
        <v>38800000</v>
      </c>
      <c r="F408"/>
    </row>
    <row r="409" spans="1:6" x14ac:dyDescent="0.25">
      <c r="A409" s="5" t="s">
        <v>490</v>
      </c>
      <c r="B409" s="7">
        <v>21210000</v>
      </c>
      <c r="C409" s="7">
        <v>85200000</v>
      </c>
      <c r="F409"/>
    </row>
    <row r="410" spans="1:6" x14ac:dyDescent="0.25">
      <c r="A410" s="5" t="s">
        <v>491</v>
      </c>
      <c r="B410" s="7">
        <v>131430000</v>
      </c>
      <c r="C410" s="7">
        <v>40450000</v>
      </c>
      <c r="F410"/>
    </row>
    <row r="411" spans="1:6" x14ac:dyDescent="0.25">
      <c r="A411" s="5" t="s">
        <v>492</v>
      </c>
      <c r="B411" s="7">
        <v>29670000</v>
      </c>
      <c r="C411" s="7">
        <v>7850000</v>
      </c>
      <c r="F411"/>
    </row>
    <row r="412" spans="1:6" x14ac:dyDescent="0.25">
      <c r="A412" s="5" t="s">
        <v>493</v>
      </c>
      <c r="B412" s="7">
        <v>121800000</v>
      </c>
      <c r="C412" s="7">
        <v>54300000</v>
      </c>
      <c r="F412"/>
    </row>
    <row r="413" spans="1:6" x14ac:dyDescent="0.25">
      <c r="A413" s="5" t="s">
        <v>70</v>
      </c>
      <c r="B413" s="7">
        <v>251510000</v>
      </c>
      <c r="C413" s="7">
        <v>76680000</v>
      </c>
      <c r="F413"/>
    </row>
    <row r="414" spans="1:6" x14ac:dyDescent="0.25">
      <c r="A414" s="5" t="s">
        <v>494</v>
      </c>
      <c r="B414" s="7">
        <v>178080000</v>
      </c>
      <c r="C414" s="7">
        <v>86190000</v>
      </c>
      <c r="F414"/>
    </row>
    <row r="415" spans="1:6" x14ac:dyDescent="0.25">
      <c r="A415" s="5" t="s">
        <v>495</v>
      </c>
      <c r="B415" s="7">
        <v>174030000</v>
      </c>
      <c r="C415" s="7">
        <v>59070000</v>
      </c>
      <c r="F415"/>
    </row>
    <row r="416" spans="1:6" x14ac:dyDescent="0.25">
      <c r="A416" s="5" t="s">
        <v>496</v>
      </c>
      <c r="B416" s="7">
        <v>198960000</v>
      </c>
      <c r="C416" s="7">
        <v>22710000</v>
      </c>
      <c r="F416"/>
    </row>
    <row r="417" spans="1:6" x14ac:dyDescent="0.25">
      <c r="A417" s="5" t="s">
        <v>497</v>
      </c>
      <c r="B417" s="7">
        <v>29030000</v>
      </c>
      <c r="C417" s="7">
        <v>38490000</v>
      </c>
      <c r="F417"/>
    </row>
    <row r="418" spans="1:6" x14ac:dyDescent="0.25">
      <c r="A418" s="5" t="s">
        <v>498</v>
      </c>
      <c r="B418" s="7">
        <v>195810000</v>
      </c>
      <c r="C418" s="7">
        <v>45070000</v>
      </c>
      <c r="F418"/>
    </row>
    <row r="419" spans="1:6" x14ac:dyDescent="0.25">
      <c r="A419" s="5" t="s">
        <v>499</v>
      </c>
      <c r="B419" s="7">
        <v>93990000</v>
      </c>
      <c r="C419" s="7">
        <v>57970000</v>
      </c>
      <c r="F419"/>
    </row>
    <row r="420" spans="1:6" x14ac:dyDescent="0.25">
      <c r="A420" s="5" t="s">
        <v>500</v>
      </c>
      <c r="B420" s="7">
        <v>120010000</v>
      </c>
      <c r="C420" s="7">
        <v>75960000</v>
      </c>
      <c r="F420"/>
    </row>
    <row r="421" spans="1:6" x14ac:dyDescent="0.25">
      <c r="A421" s="5" t="s">
        <v>501</v>
      </c>
      <c r="B421" s="7">
        <v>257470000</v>
      </c>
      <c r="C421" s="7">
        <v>9980000</v>
      </c>
      <c r="F421"/>
    </row>
    <row r="422" spans="1:6" x14ac:dyDescent="0.25">
      <c r="A422" s="5" t="s">
        <v>502</v>
      </c>
      <c r="B422" s="7">
        <v>3200000</v>
      </c>
      <c r="C422" s="7">
        <v>88980000</v>
      </c>
      <c r="F422"/>
    </row>
    <row r="423" spans="1:6" x14ac:dyDescent="0.25">
      <c r="A423" s="5" t="s">
        <v>503</v>
      </c>
      <c r="B423" s="7">
        <v>176730000</v>
      </c>
      <c r="C423" s="7">
        <v>1330000</v>
      </c>
      <c r="F423"/>
    </row>
    <row r="424" spans="1:6" x14ac:dyDescent="0.25">
      <c r="A424" s="5" t="s">
        <v>71</v>
      </c>
      <c r="B424" s="7">
        <v>121610000</v>
      </c>
      <c r="C424" s="7">
        <v>73390000</v>
      </c>
      <c r="F424"/>
    </row>
    <row r="425" spans="1:6" x14ac:dyDescent="0.25">
      <c r="A425" s="5" t="s">
        <v>504</v>
      </c>
      <c r="B425" s="7">
        <v>179810000</v>
      </c>
      <c r="C425" s="7">
        <v>37070000</v>
      </c>
      <c r="F425"/>
    </row>
    <row r="426" spans="1:6" x14ac:dyDescent="0.25">
      <c r="A426" s="5" t="s">
        <v>505</v>
      </c>
      <c r="B426" s="7">
        <v>119300000</v>
      </c>
      <c r="C426" s="7">
        <v>2840000</v>
      </c>
      <c r="F426"/>
    </row>
    <row r="427" spans="1:6" x14ac:dyDescent="0.25">
      <c r="A427" s="5" t="s">
        <v>506</v>
      </c>
      <c r="B427" s="7">
        <v>71490000</v>
      </c>
      <c r="C427" s="7">
        <v>39360000</v>
      </c>
      <c r="F427"/>
    </row>
    <row r="428" spans="1:6" x14ac:dyDescent="0.25">
      <c r="A428" s="5" t="s">
        <v>507</v>
      </c>
      <c r="B428" s="7">
        <v>70780000</v>
      </c>
      <c r="C428" s="7">
        <v>52630000</v>
      </c>
      <c r="F428"/>
    </row>
    <row r="429" spans="1:6" x14ac:dyDescent="0.25">
      <c r="A429" s="5" t="s">
        <v>508</v>
      </c>
      <c r="B429" s="7">
        <v>265170000</v>
      </c>
      <c r="C429" s="7">
        <v>51220000</v>
      </c>
      <c r="F429"/>
    </row>
    <row r="430" spans="1:6" x14ac:dyDescent="0.25">
      <c r="A430" s="5" t="s">
        <v>509</v>
      </c>
      <c r="B430" s="7">
        <v>132890000</v>
      </c>
      <c r="C430" s="7">
        <v>16650000</v>
      </c>
      <c r="F430"/>
    </row>
    <row r="431" spans="1:6" x14ac:dyDescent="0.25">
      <c r="A431" s="5" t="s">
        <v>510</v>
      </c>
      <c r="B431" s="7">
        <v>99600000</v>
      </c>
      <c r="C431" s="7">
        <v>64610000</v>
      </c>
      <c r="F431"/>
    </row>
    <row r="432" spans="1:6" x14ac:dyDescent="0.25">
      <c r="A432" s="5" t="s">
        <v>511</v>
      </c>
      <c r="B432" s="7">
        <v>134910000</v>
      </c>
      <c r="C432" s="7">
        <v>4570000</v>
      </c>
      <c r="F432"/>
    </row>
    <row r="433" spans="1:6" x14ac:dyDescent="0.25">
      <c r="A433" s="5" t="s">
        <v>512</v>
      </c>
      <c r="B433" s="7">
        <v>200980000</v>
      </c>
      <c r="C433" s="7">
        <v>76210000</v>
      </c>
      <c r="F433"/>
    </row>
    <row r="434" spans="1:6" x14ac:dyDescent="0.25">
      <c r="A434" s="5" t="s">
        <v>513</v>
      </c>
      <c r="B434" s="7">
        <v>44150000</v>
      </c>
      <c r="C434" s="7">
        <v>94670000</v>
      </c>
      <c r="F434"/>
    </row>
    <row r="435" spans="1:6" x14ac:dyDescent="0.25">
      <c r="A435" s="5" t="s">
        <v>73</v>
      </c>
      <c r="B435" s="7">
        <v>231390000</v>
      </c>
      <c r="C435" s="7">
        <v>30010000</v>
      </c>
      <c r="F435"/>
    </row>
    <row r="436" spans="1:6" x14ac:dyDescent="0.25">
      <c r="A436" s="5" t="s">
        <v>514</v>
      </c>
      <c r="B436" s="7">
        <v>135110000</v>
      </c>
      <c r="C436" s="7">
        <v>34040000</v>
      </c>
      <c r="F436"/>
    </row>
    <row r="437" spans="1:6" x14ac:dyDescent="0.25">
      <c r="A437" s="5" t="s">
        <v>515</v>
      </c>
      <c r="B437" s="7">
        <v>176570000</v>
      </c>
      <c r="C437" s="7">
        <v>51770000</v>
      </c>
      <c r="F437"/>
    </row>
    <row r="438" spans="1:6" x14ac:dyDescent="0.25">
      <c r="A438" s="5" t="s">
        <v>516</v>
      </c>
      <c r="B438" s="7">
        <v>284600000</v>
      </c>
      <c r="C438" s="7">
        <v>37950000</v>
      </c>
      <c r="F438"/>
    </row>
    <row r="439" spans="1:6" x14ac:dyDescent="0.25">
      <c r="A439" s="5" t="s">
        <v>517</v>
      </c>
      <c r="B439" s="7">
        <v>76130000</v>
      </c>
      <c r="C439" s="7">
        <v>770000</v>
      </c>
      <c r="F439"/>
    </row>
    <row r="440" spans="1:6" x14ac:dyDescent="0.25">
      <c r="A440" s="5" t="s">
        <v>518</v>
      </c>
      <c r="B440" s="7">
        <v>108100000</v>
      </c>
      <c r="C440" s="7">
        <v>38650000</v>
      </c>
      <c r="F440"/>
    </row>
    <row r="441" spans="1:6" x14ac:dyDescent="0.25">
      <c r="A441" s="5" t="s">
        <v>519</v>
      </c>
      <c r="B441" s="7">
        <v>114120000</v>
      </c>
      <c r="C441" s="7">
        <v>79190000</v>
      </c>
      <c r="F441"/>
    </row>
    <row r="442" spans="1:6" x14ac:dyDescent="0.25">
      <c r="A442" s="5" t="s">
        <v>520</v>
      </c>
      <c r="B442" s="7">
        <v>181860000</v>
      </c>
      <c r="C442" s="7">
        <v>59640000</v>
      </c>
      <c r="F442"/>
    </row>
    <row r="443" spans="1:6" x14ac:dyDescent="0.25">
      <c r="A443" s="5" t="s">
        <v>521</v>
      </c>
      <c r="B443" s="7">
        <v>107340000</v>
      </c>
      <c r="C443" s="7">
        <v>10220000</v>
      </c>
      <c r="F443"/>
    </row>
    <row r="444" spans="1:6" x14ac:dyDescent="0.25">
      <c r="A444" s="5" t="s">
        <v>522</v>
      </c>
      <c r="B444" s="7">
        <v>160290000</v>
      </c>
      <c r="C444" s="7">
        <v>84730000</v>
      </c>
      <c r="F444"/>
    </row>
    <row r="445" spans="1:6" x14ac:dyDescent="0.25">
      <c r="A445" s="5" t="s">
        <v>523</v>
      </c>
      <c r="B445" s="7">
        <v>234650000</v>
      </c>
      <c r="C445" s="7">
        <v>53160000</v>
      </c>
      <c r="F445"/>
    </row>
    <row r="446" spans="1:6" x14ac:dyDescent="0.25">
      <c r="A446" s="5" t="s">
        <v>19</v>
      </c>
      <c r="B446" s="7">
        <v>249280000</v>
      </c>
      <c r="C446" s="7">
        <v>50250000</v>
      </c>
      <c r="F446"/>
    </row>
    <row r="447" spans="1:6" x14ac:dyDescent="0.25">
      <c r="A447" s="5" t="s">
        <v>74</v>
      </c>
      <c r="B447" s="7">
        <v>126900000</v>
      </c>
      <c r="C447" s="7">
        <v>17430000</v>
      </c>
      <c r="F447"/>
    </row>
    <row r="448" spans="1:6" x14ac:dyDescent="0.25">
      <c r="A448" s="5" t="s">
        <v>524</v>
      </c>
      <c r="B448" s="7">
        <v>211760000</v>
      </c>
      <c r="C448" s="7">
        <v>84190000</v>
      </c>
      <c r="F448"/>
    </row>
    <row r="449" spans="1:6" x14ac:dyDescent="0.25">
      <c r="A449" s="5" t="s">
        <v>75</v>
      </c>
      <c r="B449" s="7">
        <v>106480000</v>
      </c>
      <c r="C449" s="7">
        <v>63790000</v>
      </c>
      <c r="F449"/>
    </row>
    <row r="450" spans="1:6" x14ac:dyDescent="0.25">
      <c r="A450" s="5" t="s">
        <v>76</v>
      </c>
      <c r="B450" s="7">
        <v>287610000</v>
      </c>
      <c r="C450" s="7">
        <v>49670000</v>
      </c>
      <c r="F450"/>
    </row>
    <row r="451" spans="1:6" x14ac:dyDescent="0.25">
      <c r="A451" s="5" t="s">
        <v>77</v>
      </c>
      <c r="B451" s="7">
        <v>55720000</v>
      </c>
      <c r="C451" s="7">
        <v>17910000</v>
      </c>
      <c r="F451"/>
    </row>
    <row r="452" spans="1:6" x14ac:dyDescent="0.25">
      <c r="A452" s="5" t="s">
        <v>78</v>
      </c>
      <c r="B452" s="7">
        <v>27560000</v>
      </c>
      <c r="C452" s="7">
        <v>68620000</v>
      </c>
      <c r="F452"/>
    </row>
    <row r="453" spans="1:6" x14ac:dyDescent="0.25">
      <c r="A453" s="5" t="s">
        <v>79</v>
      </c>
      <c r="B453" s="7">
        <v>231410000</v>
      </c>
      <c r="C453" s="7">
        <v>99110000</v>
      </c>
      <c r="F453"/>
    </row>
    <row r="454" spans="1:6" x14ac:dyDescent="0.25">
      <c r="A454" s="5" t="s">
        <v>80</v>
      </c>
      <c r="B454" s="7">
        <v>20940000</v>
      </c>
      <c r="C454" s="7">
        <v>74750000</v>
      </c>
      <c r="F454"/>
    </row>
    <row r="455" spans="1:6" x14ac:dyDescent="0.25">
      <c r="A455" s="5" t="s">
        <v>81</v>
      </c>
      <c r="B455" s="7">
        <v>251210000</v>
      </c>
      <c r="C455" s="7">
        <v>74020000</v>
      </c>
      <c r="F455"/>
    </row>
    <row r="456" spans="1:6" x14ac:dyDescent="0.25">
      <c r="A456" s="5" t="s">
        <v>82</v>
      </c>
      <c r="B456" s="7">
        <v>131440000</v>
      </c>
      <c r="C456" s="7">
        <v>95040000</v>
      </c>
      <c r="F456"/>
    </row>
    <row r="457" spans="1:6" x14ac:dyDescent="0.25">
      <c r="A457" s="5" t="s">
        <v>83</v>
      </c>
      <c r="B457" s="7">
        <v>274700000</v>
      </c>
      <c r="C457" s="7">
        <v>20370000</v>
      </c>
      <c r="F457"/>
    </row>
    <row r="458" spans="1:6" x14ac:dyDescent="0.25">
      <c r="A458" s="5" t="s">
        <v>21</v>
      </c>
      <c r="B458" s="7">
        <v>103890000</v>
      </c>
      <c r="C458" s="7">
        <v>12560000</v>
      </c>
      <c r="F458"/>
    </row>
    <row r="459" spans="1:6" x14ac:dyDescent="0.25">
      <c r="A459" s="5" t="s">
        <v>84</v>
      </c>
      <c r="B459" s="7">
        <v>216600000</v>
      </c>
      <c r="C459" s="7">
        <v>56600000</v>
      </c>
      <c r="F459"/>
    </row>
    <row r="460" spans="1:6" x14ac:dyDescent="0.25">
      <c r="A460" s="5" t="s">
        <v>85</v>
      </c>
      <c r="B460" s="7">
        <v>183320000</v>
      </c>
      <c r="C460" s="7">
        <v>97970000</v>
      </c>
      <c r="F460"/>
    </row>
    <row r="461" spans="1:6" x14ac:dyDescent="0.25">
      <c r="A461" s="5" t="s">
        <v>86</v>
      </c>
      <c r="B461" s="7">
        <v>284820000</v>
      </c>
      <c r="C461" s="7">
        <v>16610000</v>
      </c>
      <c r="F461"/>
    </row>
    <row r="462" spans="1:6" x14ac:dyDescent="0.25">
      <c r="A462" s="5" t="s">
        <v>87</v>
      </c>
      <c r="B462" s="7">
        <v>119300000</v>
      </c>
      <c r="C462" s="7">
        <v>70060000</v>
      </c>
      <c r="F462"/>
    </row>
    <row r="463" spans="1:6" x14ac:dyDescent="0.25">
      <c r="A463" s="5" t="s">
        <v>88</v>
      </c>
      <c r="B463" s="7">
        <v>286250000</v>
      </c>
      <c r="C463" s="7">
        <v>58620000</v>
      </c>
      <c r="F463"/>
    </row>
    <row r="464" spans="1:6" x14ac:dyDescent="0.25">
      <c r="A464" s="5" t="s">
        <v>89</v>
      </c>
      <c r="B464" s="7">
        <v>40930000</v>
      </c>
      <c r="C464" s="7">
        <v>58690000</v>
      </c>
      <c r="F464"/>
    </row>
    <row r="465" spans="1:6" x14ac:dyDescent="0.25">
      <c r="A465" s="5" t="s">
        <v>90</v>
      </c>
      <c r="B465" s="7">
        <v>145380000</v>
      </c>
      <c r="C465" s="7">
        <v>69800000</v>
      </c>
      <c r="F465"/>
    </row>
    <row r="466" spans="1:6" x14ac:dyDescent="0.25">
      <c r="A466" s="5" t="s">
        <v>91</v>
      </c>
      <c r="B466" s="7">
        <v>81340000</v>
      </c>
      <c r="C466" s="7">
        <v>92970000</v>
      </c>
      <c r="F466"/>
    </row>
    <row r="467" spans="1:6" x14ac:dyDescent="0.25">
      <c r="A467" s="5" t="s">
        <v>92</v>
      </c>
      <c r="B467" s="7">
        <v>162180000</v>
      </c>
      <c r="C467" s="7">
        <v>78280000</v>
      </c>
      <c r="F467"/>
    </row>
    <row r="468" spans="1:6" x14ac:dyDescent="0.25">
      <c r="A468" s="5" t="s">
        <v>93</v>
      </c>
      <c r="B468" s="7">
        <v>49020000</v>
      </c>
      <c r="C468" s="7">
        <v>5710000</v>
      </c>
      <c r="F468"/>
    </row>
    <row r="469" spans="1:6" x14ac:dyDescent="0.25">
      <c r="A469" s="5" t="s">
        <v>24</v>
      </c>
      <c r="B469" s="7">
        <v>232260000</v>
      </c>
      <c r="C469" s="7">
        <v>38600000</v>
      </c>
      <c r="F469"/>
    </row>
    <row r="470" spans="1:6" x14ac:dyDescent="0.25">
      <c r="A470" s="5" t="s">
        <v>94</v>
      </c>
      <c r="B470" s="7">
        <v>252540000</v>
      </c>
      <c r="C470" s="7">
        <v>85290000</v>
      </c>
      <c r="F470"/>
    </row>
    <row r="471" spans="1:6" x14ac:dyDescent="0.25">
      <c r="A471" s="5" t="s">
        <v>95</v>
      </c>
      <c r="B471" s="7">
        <v>254000000</v>
      </c>
      <c r="C471" s="7">
        <v>22630000</v>
      </c>
      <c r="F471"/>
    </row>
    <row r="472" spans="1:6" x14ac:dyDescent="0.25">
      <c r="A472" s="5" t="s">
        <v>96</v>
      </c>
      <c r="B472" s="7">
        <v>286590000</v>
      </c>
      <c r="C472" s="7">
        <v>37750000</v>
      </c>
      <c r="F472"/>
    </row>
    <row r="473" spans="1:6" x14ac:dyDescent="0.25">
      <c r="A473" s="5" t="s">
        <v>97</v>
      </c>
      <c r="B473" s="7">
        <v>46820000</v>
      </c>
      <c r="C473" s="7">
        <v>46230000</v>
      </c>
      <c r="F473"/>
    </row>
    <row r="474" spans="1:6" x14ac:dyDescent="0.25">
      <c r="A474" s="5" t="s">
        <v>98</v>
      </c>
      <c r="B474" s="7">
        <v>187190000</v>
      </c>
      <c r="C474" s="7">
        <v>48140000</v>
      </c>
      <c r="F474"/>
    </row>
    <row r="475" spans="1:6" x14ac:dyDescent="0.25">
      <c r="A475" s="5" t="s">
        <v>99</v>
      </c>
      <c r="B475" s="7">
        <v>142530000</v>
      </c>
      <c r="C475" s="7">
        <v>43570000</v>
      </c>
      <c r="F475"/>
    </row>
    <row r="476" spans="1:6" x14ac:dyDescent="0.25">
      <c r="A476" s="5" t="s">
        <v>100</v>
      </c>
      <c r="B476" s="7">
        <v>103640000</v>
      </c>
      <c r="C476" s="7">
        <v>93740000</v>
      </c>
      <c r="F476"/>
    </row>
    <row r="477" spans="1:6" x14ac:dyDescent="0.25">
      <c r="A477" s="5" t="s">
        <v>101</v>
      </c>
      <c r="B477" s="7">
        <v>105790000</v>
      </c>
      <c r="C477" s="7">
        <v>70630000</v>
      </c>
      <c r="F477"/>
    </row>
    <row r="478" spans="1:6" x14ac:dyDescent="0.25">
      <c r="A478" s="5" t="s">
        <v>102</v>
      </c>
      <c r="B478" s="7">
        <v>124130000</v>
      </c>
      <c r="C478" s="7">
        <v>63150000</v>
      </c>
      <c r="F478"/>
    </row>
    <row r="479" spans="1:6" x14ac:dyDescent="0.25">
      <c r="A479" s="5" t="s">
        <v>103</v>
      </c>
      <c r="B479" s="7">
        <v>211630000</v>
      </c>
      <c r="C479" s="7">
        <v>5080000</v>
      </c>
      <c r="F479"/>
    </row>
    <row r="480" spans="1:6" x14ac:dyDescent="0.25">
      <c r="A480" s="5" t="s">
        <v>26</v>
      </c>
      <c r="B480" s="7">
        <v>109150000</v>
      </c>
      <c r="C480" s="7">
        <v>64370000</v>
      </c>
      <c r="F480"/>
    </row>
    <row r="481" spans="1:6" x14ac:dyDescent="0.25">
      <c r="A481" s="5" t="s">
        <v>104</v>
      </c>
      <c r="B481" s="7">
        <v>179690000</v>
      </c>
      <c r="C481" s="7">
        <v>90400000</v>
      </c>
      <c r="F481"/>
    </row>
    <row r="482" spans="1:6" x14ac:dyDescent="0.25">
      <c r="A482" s="5" t="s">
        <v>105</v>
      </c>
      <c r="B482" s="7">
        <v>138170000</v>
      </c>
      <c r="C482" s="7">
        <v>90950000</v>
      </c>
      <c r="F482"/>
    </row>
    <row r="483" spans="1:6" x14ac:dyDescent="0.25">
      <c r="A483" s="5" t="s">
        <v>106</v>
      </c>
      <c r="B483" s="7">
        <v>23240000</v>
      </c>
      <c r="C483" s="7">
        <v>78040000</v>
      </c>
      <c r="F483"/>
    </row>
    <row r="484" spans="1:6" x14ac:dyDescent="0.25">
      <c r="A484" s="5" t="s">
        <v>107</v>
      </c>
      <c r="B484" s="7">
        <v>23790000</v>
      </c>
      <c r="C484" s="7">
        <v>800000</v>
      </c>
      <c r="F484"/>
    </row>
    <row r="485" spans="1:6" x14ac:dyDescent="0.25">
      <c r="A485" s="5" t="s">
        <v>108</v>
      </c>
      <c r="B485" s="7">
        <v>1200000</v>
      </c>
      <c r="C485" s="7">
        <v>5820000</v>
      </c>
      <c r="F485"/>
    </row>
    <row r="486" spans="1:6" x14ac:dyDescent="0.25">
      <c r="A486" s="5" t="s">
        <v>109</v>
      </c>
      <c r="B486" s="7">
        <v>290330000</v>
      </c>
      <c r="C486" s="7">
        <v>22600000</v>
      </c>
      <c r="F486"/>
    </row>
    <row r="487" spans="1:6" x14ac:dyDescent="0.25">
      <c r="A487" s="5" t="s">
        <v>110</v>
      </c>
      <c r="B487" s="7">
        <v>2070000</v>
      </c>
      <c r="C487" s="7">
        <v>13220000</v>
      </c>
      <c r="F487"/>
    </row>
    <row r="488" spans="1:6" x14ac:dyDescent="0.25">
      <c r="A488" s="5" t="s">
        <v>111</v>
      </c>
      <c r="B488" s="7">
        <v>31380000</v>
      </c>
      <c r="C488" s="7">
        <v>39940000</v>
      </c>
      <c r="F488"/>
    </row>
    <row r="489" spans="1:6" x14ac:dyDescent="0.25">
      <c r="A489" s="5" t="s">
        <v>112</v>
      </c>
      <c r="B489" s="7">
        <v>94720000</v>
      </c>
      <c r="C489" s="7">
        <v>92270000</v>
      </c>
      <c r="F489"/>
    </row>
    <row r="490" spans="1:6" x14ac:dyDescent="0.25">
      <c r="A490" s="5" t="s">
        <v>113</v>
      </c>
      <c r="B490" s="7">
        <v>242330000</v>
      </c>
      <c r="C490" s="7">
        <v>47260000</v>
      </c>
      <c r="F490"/>
    </row>
    <row r="491" spans="1:6" x14ac:dyDescent="0.25">
      <c r="A491" s="5" t="s">
        <v>28</v>
      </c>
      <c r="B491" s="7">
        <v>258390000</v>
      </c>
      <c r="C491" s="7">
        <v>78060000</v>
      </c>
      <c r="F491"/>
    </row>
    <row r="492" spans="1:6" x14ac:dyDescent="0.25">
      <c r="A492" s="5" t="s">
        <v>114</v>
      </c>
      <c r="B492" s="7">
        <v>288650000</v>
      </c>
      <c r="C492" s="7">
        <v>1440000</v>
      </c>
      <c r="F492"/>
    </row>
    <row r="493" spans="1:6" x14ac:dyDescent="0.25">
      <c r="A493" s="5" t="s">
        <v>115</v>
      </c>
      <c r="B493" s="7">
        <v>237110000</v>
      </c>
      <c r="C493" s="7">
        <v>28350000</v>
      </c>
      <c r="F493"/>
    </row>
    <row r="494" spans="1:6" x14ac:dyDescent="0.25">
      <c r="A494" s="5" t="s">
        <v>116</v>
      </c>
      <c r="B494" s="7">
        <v>207320000</v>
      </c>
      <c r="C494" s="7">
        <v>4560000</v>
      </c>
      <c r="F494"/>
    </row>
    <row r="495" spans="1:6" x14ac:dyDescent="0.25">
      <c r="A495" s="5" t="s">
        <v>117</v>
      </c>
      <c r="B495" s="7">
        <v>156630000</v>
      </c>
      <c r="C495" s="7">
        <v>3730000</v>
      </c>
      <c r="F495"/>
    </row>
    <row r="496" spans="1:6" x14ac:dyDescent="0.25">
      <c r="A496" s="5" t="s">
        <v>118</v>
      </c>
      <c r="B496" s="7">
        <v>26470000</v>
      </c>
      <c r="C496" s="7">
        <v>27640000</v>
      </c>
      <c r="F496"/>
    </row>
    <row r="497" spans="1:6" x14ac:dyDescent="0.25">
      <c r="A497" s="5" t="s">
        <v>119</v>
      </c>
      <c r="B497" s="7">
        <v>287470000</v>
      </c>
      <c r="C497" s="7">
        <v>27630000</v>
      </c>
      <c r="F497"/>
    </row>
    <row r="498" spans="1:6" x14ac:dyDescent="0.25">
      <c r="A498" s="5" t="s">
        <v>120</v>
      </c>
      <c r="B498" s="7">
        <v>227640000</v>
      </c>
      <c r="C498" s="7">
        <v>78730000</v>
      </c>
      <c r="F498"/>
    </row>
    <row r="499" spans="1:6" x14ac:dyDescent="0.25">
      <c r="A499" s="5" t="s">
        <v>121</v>
      </c>
      <c r="B499" s="7">
        <v>191870000</v>
      </c>
      <c r="C499" s="7">
        <v>97490000</v>
      </c>
      <c r="F499"/>
    </row>
    <row r="500" spans="1:6" x14ac:dyDescent="0.25">
      <c r="A500" s="5" t="s">
        <v>122</v>
      </c>
      <c r="B500" s="7">
        <v>227830000</v>
      </c>
      <c r="C500" s="7">
        <v>37180000</v>
      </c>
      <c r="F500"/>
    </row>
    <row r="501" spans="1:6" x14ac:dyDescent="0.25">
      <c r="A501" s="5" t="s">
        <v>123</v>
      </c>
      <c r="B501" s="7">
        <v>217370000</v>
      </c>
      <c r="C501" s="7">
        <v>42950000</v>
      </c>
      <c r="F501"/>
    </row>
    <row r="502" spans="1:6" x14ac:dyDescent="0.25">
      <c r="F50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4B3A5-3CC1-4DB8-9590-4CC64DC6D22E}">
  <sheetPr codeName="Sheet6"/>
  <dimension ref="J1:T3"/>
  <sheetViews>
    <sheetView showGridLines="0" showRowColHeaders="0" workbookViewId="0">
      <selection activeCell="C31" sqref="C31"/>
    </sheetView>
  </sheetViews>
  <sheetFormatPr defaultRowHeight="15" x14ac:dyDescent="0.25"/>
  <sheetData>
    <row r="1" spans="10:20" x14ac:dyDescent="0.25">
      <c r="J1" s="27" t="s">
        <v>546</v>
      </c>
      <c r="K1" s="28"/>
      <c r="L1" s="28"/>
      <c r="M1" s="28"/>
      <c r="N1" s="28"/>
      <c r="O1" s="28"/>
      <c r="P1" s="28"/>
      <c r="Q1" s="28"/>
      <c r="R1" s="28"/>
      <c r="S1" s="28"/>
      <c r="T1" s="29"/>
    </row>
    <row r="2" spans="10:20" x14ac:dyDescent="0.25">
      <c r="J2" s="30"/>
      <c r="K2" s="31"/>
      <c r="L2" s="31"/>
      <c r="M2" s="31"/>
      <c r="N2" s="31"/>
      <c r="O2" s="31"/>
      <c r="P2" s="31"/>
      <c r="Q2" s="31"/>
      <c r="R2" s="31"/>
      <c r="S2" s="31"/>
      <c r="T2" s="32"/>
    </row>
    <row r="3" spans="10:20" ht="15.75" thickBot="1" x14ac:dyDescent="0.3">
      <c r="J3" s="33"/>
      <c r="K3" s="34"/>
      <c r="L3" s="34"/>
      <c r="M3" s="34"/>
      <c r="N3" s="34"/>
      <c r="O3" s="34"/>
      <c r="P3" s="34"/>
      <c r="Q3" s="34"/>
      <c r="R3" s="34"/>
      <c r="S3" s="34"/>
      <c r="T3" s="35"/>
    </row>
  </sheetData>
  <sheetProtection sheet="1" objects="1" scenarios="1" selectLockedCells="1"/>
  <mergeCells count="1">
    <mergeCell ref="J1:T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72912-7F64-4AA1-8563-AE067507CD9A}">
  <sheetPr codeName="Sheet7"/>
  <dimension ref="A1:G24"/>
  <sheetViews>
    <sheetView workbookViewId="0">
      <selection activeCell="A15" sqref="A15"/>
    </sheetView>
  </sheetViews>
  <sheetFormatPr defaultRowHeight="15" x14ac:dyDescent="0.25"/>
  <cols>
    <col min="1" max="1" width="13.42578125" bestFit="1" customWidth="1"/>
    <col min="2" max="2" width="22.28515625" bestFit="1" customWidth="1"/>
    <col min="3" max="3" width="11.5703125" bestFit="1" customWidth="1"/>
    <col min="4" max="4" width="26" bestFit="1" customWidth="1"/>
    <col min="5" max="5" width="16.85546875" bestFit="1" customWidth="1"/>
    <col min="6" max="7" width="14.85546875" bestFit="1" customWidth="1"/>
  </cols>
  <sheetData>
    <row r="1" spans="1:7" x14ac:dyDescent="0.25">
      <c r="A1" s="4" t="s">
        <v>529</v>
      </c>
      <c r="B1" t="s">
        <v>542</v>
      </c>
      <c r="D1" s="4" t="s">
        <v>540</v>
      </c>
      <c r="E1" s="4" t="s">
        <v>541</v>
      </c>
    </row>
    <row r="2" spans="1:7" x14ac:dyDescent="0.25">
      <c r="A2" s="5" t="s">
        <v>22</v>
      </c>
      <c r="B2" s="9">
        <v>0.46774193548387094</v>
      </c>
      <c r="D2" s="4" t="s">
        <v>529</v>
      </c>
      <c r="E2" t="s">
        <v>543</v>
      </c>
      <c r="F2" t="s">
        <v>5</v>
      </c>
      <c r="G2" t="s">
        <v>528</v>
      </c>
    </row>
    <row r="3" spans="1:7" x14ac:dyDescent="0.25">
      <c r="A3" s="5" t="s">
        <v>36</v>
      </c>
      <c r="B3" s="9">
        <v>0.31372549019607843</v>
      </c>
      <c r="D3" s="5" t="s">
        <v>22</v>
      </c>
      <c r="E3" s="7">
        <v>143529393.93939394</v>
      </c>
      <c r="F3" s="7">
        <v>132433793.10344827</v>
      </c>
      <c r="G3" s="7">
        <v>138339516.12903225</v>
      </c>
    </row>
    <row r="4" spans="1:7" x14ac:dyDescent="0.25">
      <c r="A4" s="5" t="s">
        <v>72</v>
      </c>
      <c r="B4" s="9">
        <v>0.54285714285714282</v>
      </c>
      <c r="D4" s="5" t="s">
        <v>36</v>
      </c>
      <c r="E4" s="7">
        <v>155436000</v>
      </c>
      <c r="F4" s="7">
        <v>158253125</v>
      </c>
      <c r="G4" s="7">
        <v>156319803.92156863</v>
      </c>
    </row>
    <row r="5" spans="1:7" x14ac:dyDescent="0.25">
      <c r="A5" s="5" t="s">
        <v>14</v>
      </c>
      <c r="B5" s="9">
        <v>0.45945945945945948</v>
      </c>
      <c r="D5" s="5" t="s">
        <v>72</v>
      </c>
      <c r="E5" s="7">
        <v>143794687.5</v>
      </c>
      <c r="F5" s="7">
        <v>182181052.63157895</v>
      </c>
      <c r="G5" s="7">
        <v>164633000</v>
      </c>
    </row>
    <row r="6" spans="1:7" x14ac:dyDescent="0.25">
      <c r="A6" s="5" t="s">
        <v>31</v>
      </c>
      <c r="B6" s="9">
        <v>0.3380281690140845</v>
      </c>
      <c r="D6" s="5" t="s">
        <v>14</v>
      </c>
      <c r="E6" s="7">
        <v>161038250</v>
      </c>
      <c r="F6" s="7">
        <v>140311764.70588234</v>
      </c>
      <c r="G6" s="7">
        <v>151515270.27027026</v>
      </c>
    </row>
    <row r="7" spans="1:7" x14ac:dyDescent="0.25">
      <c r="A7" s="5" t="s">
        <v>18</v>
      </c>
      <c r="B7" s="9">
        <v>0.33870967741935482</v>
      </c>
      <c r="D7" s="5" t="s">
        <v>31</v>
      </c>
      <c r="E7" s="7">
        <v>165623617.02127659</v>
      </c>
      <c r="F7" s="7">
        <v>160921666.66666666</v>
      </c>
      <c r="G7" s="7">
        <v>164034225.35211268</v>
      </c>
    </row>
    <row r="8" spans="1:7" x14ac:dyDescent="0.25">
      <c r="A8" s="5" t="s">
        <v>27</v>
      </c>
      <c r="B8" s="9">
        <v>0.44897959183673469</v>
      </c>
      <c r="D8" s="5" t="s">
        <v>18</v>
      </c>
      <c r="E8" s="7">
        <v>163752439.02439025</v>
      </c>
      <c r="F8" s="7">
        <v>191495714.2857143</v>
      </c>
      <c r="G8" s="7">
        <v>173149354.83870968</v>
      </c>
    </row>
    <row r="9" spans="1:7" x14ac:dyDescent="0.25">
      <c r="A9" s="5" t="s">
        <v>10</v>
      </c>
      <c r="B9" s="9">
        <v>0.52459016393442626</v>
      </c>
      <c r="D9" s="5" t="s">
        <v>27</v>
      </c>
      <c r="E9" s="7">
        <v>131995555.55555555</v>
      </c>
      <c r="F9" s="7">
        <v>138524545.45454547</v>
      </c>
      <c r="G9" s="7">
        <v>134926938.77551019</v>
      </c>
    </row>
    <row r="10" spans="1:7" x14ac:dyDescent="0.25">
      <c r="A10" s="5" t="s">
        <v>528</v>
      </c>
      <c r="B10" s="9">
        <v>0.432</v>
      </c>
      <c r="D10" s="5" t="s">
        <v>10</v>
      </c>
      <c r="E10" s="7">
        <v>136896551.72413793</v>
      </c>
      <c r="F10" s="7">
        <v>127483437.5</v>
      </c>
      <c r="G10" s="7">
        <v>131958524.59016393</v>
      </c>
    </row>
    <row r="11" spans="1:7" x14ac:dyDescent="0.25">
      <c r="D11" s="5" t="s">
        <v>528</v>
      </c>
      <c r="E11" s="7">
        <v>152294823.94366196</v>
      </c>
      <c r="F11" s="7">
        <v>153132638.8888889</v>
      </c>
      <c r="G11" s="7">
        <v>152656760</v>
      </c>
    </row>
    <row r="14" spans="1:7" x14ac:dyDescent="0.25">
      <c r="A14" s="4" t="s">
        <v>538</v>
      </c>
      <c r="B14" s="4" t="s">
        <v>541</v>
      </c>
    </row>
    <row r="15" spans="1:7" x14ac:dyDescent="0.25">
      <c r="A15" s="4" t="s">
        <v>529</v>
      </c>
      <c r="B15" s="11" t="s">
        <v>543</v>
      </c>
      <c r="C15" s="11" t="s">
        <v>5</v>
      </c>
    </row>
    <row r="16" spans="1:7" x14ac:dyDescent="0.25">
      <c r="A16" s="5" t="s">
        <v>22</v>
      </c>
      <c r="B16" s="11">
        <v>41323.57575757576</v>
      </c>
      <c r="C16" s="11">
        <v>49668.137931034486</v>
      </c>
    </row>
    <row r="17" spans="1:7" x14ac:dyDescent="0.25">
      <c r="A17" s="5" t="s">
        <v>36</v>
      </c>
      <c r="B17" s="11">
        <v>111768.08571428571</v>
      </c>
      <c r="C17" s="11">
        <v>88687.5625</v>
      </c>
      <c r="F17" s="10"/>
      <c r="G17" s="10"/>
    </row>
    <row r="18" spans="1:7" x14ac:dyDescent="0.25">
      <c r="A18" s="5" t="s">
        <v>72</v>
      </c>
      <c r="B18" s="11">
        <v>35617.28125</v>
      </c>
      <c r="C18" s="11">
        <v>66632.68421052632</v>
      </c>
      <c r="F18" s="10"/>
      <c r="G18" s="10"/>
    </row>
    <row r="19" spans="1:7" x14ac:dyDescent="0.25">
      <c r="A19" s="5" t="s">
        <v>14</v>
      </c>
      <c r="B19" s="11">
        <v>25212.375</v>
      </c>
      <c r="C19" s="11">
        <v>42140.26470588235</v>
      </c>
      <c r="F19" s="10"/>
      <c r="G19" s="10"/>
    </row>
    <row r="20" spans="1:7" x14ac:dyDescent="0.25">
      <c r="A20" s="5" t="s">
        <v>31</v>
      </c>
      <c r="B20" s="11">
        <v>41721.702127659577</v>
      </c>
      <c r="C20" s="11">
        <v>34588.625</v>
      </c>
      <c r="F20" s="10"/>
      <c r="G20" s="10"/>
    </row>
    <row r="21" spans="1:7" x14ac:dyDescent="0.25">
      <c r="A21" s="5" t="s">
        <v>18</v>
      </c>
      <c r="B21" s="11">
        <v>30785.90243902439</v>
      </c>
      <c r="C21" s="11">
        <v>60430.190476190473</v>
      </c>
      <c r="F21" s="10"/>
      <c r="G21" s="10"/>
    </row>
    <row r="22" spans="1:7" x14ac:dyDescent="0.25">
      <c r="A22" s="5" t="s">
        <v>27</v>
      </c>
      <c r="B22" s="11">
        <v>37244.185185185182</v>
      </c>
      <c r="C22" s="11">
        <v>87056.818181818177</v>
      </c>
      <c r="F22" s="10"/>
      <c r="G22" s="10"/>
    </row>
    <row r="23" spans="1:7" x14ac:dyDescent="0.25">
      <c r="A23" s="5" t="s">
        <v>10</v>
      </c>
      <c r="B23" s="11">
        <v>40308.275862068964</v>
      </c>
      <c r="C23" s="11">
        <v>14944.09375</v>
      </c>
      <c r="F23" s="10"/>
      <c r="G23" s="10"/>
    </row>
    <row r="24" spans="1:7" x14ac:dyDescent="0.25">
      <c r="F24" s="10"/>
      <c r="G24" s="1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DE6C1-D22A-4D73-ADAE-3BA79E724EBF}">
  <sheetPr codeName="Sheet8"/>
  <dimension ref="I1:Q3"/>
  <sheetViews>
    <sheetView showGridLines="0" showRowColHeaders="0" zoomScale="90" zoomScaleNormal="90" workbookViewId="0">
      <selection activeCell="I1" sqref="I1:Q3"/>
    </sheetView>
  </sheetViews>
  <sheetFormatPr defaultRowHeight="15" x14ac:dyDescent="0.25"/>
  <sheetData>
    <row r="1" spans="9:17" x14ac:dyDescent="0.25">
      <c r="I1" s="36" t="s">
        <v>547</v>
      </c>
      <c r="J1" s="37"/>
      <c r="K1" s="37"/>
      <c r="L1" s="37"/>
      <c r="M1" s="37"/>
      <c r="N1" s="37"/>
      <c r="O1" s="37"/>
      <c r="P1" s="37"/>
      <c r="Q1" s="38"/>
    </row>
    <row r="2" spans="9:17" x14ac:dyDescent="0.25">
      <c r="I2" s="39"/>
      <c r="J2" s="40"/>
      <c r="K2" s="40"/>
      <c r="L2" s="40"/>
      <c r="M2" s="40"/>
      <c r="N2" s="40"/>
      <c r="O2" s="40"/>
      <c r="P2" s="40"/>
      <c r="Q2" s="41"/>
    </row>
    <row r="3" spans="9:17" ht="15.75" thickBot="1" x14ac:dyDescent="0.3">
      <c r="I3" s="42"/>
      <c r="J3" s="43"/>
      <c r="K3" s="43"/>
      <c r="L3" s="43"/>
      <c r="M3" s="43"/>
      <c r="N3" s="43"/>
      <c r="O3" s="43"/>
      <c r="P3" s="43"/>
      <c r="Q3" s="44"/>
    </row>
  </sheetData>
  <sheetProtection sheet="1" objects="1" scenarios="1" selectLockedCells="1"/>
  <mergeCells count="1">
    <mergeCell ref="I1:Q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88DE6-DC49-4C11-AD5A-F94AE49615E2}">
  <sheetPr codeName="Sheet9"/>
  <dimension ref="A1:K6"/>
  <sheetViews>
    <sheetView workbookViewId="0"/>
  </sheetViews>
  <sheetFormatPr defaultRowHeight="15" x14ac:dyDescent="0.25"/>
  <cols>
    <col min="1" max="1" width="13.85546875" bestFit="1" customWidth="1"/>
    <col min="2" max="2" width="33.5703125" bestFit="1" customWidth="1"/>
    <col min="3" max="3" width="17.7109375" bestFit="1" customWidth="1"/>
    <col min="4" max="4" width="13.85546875" bestFit="1" customWidth="1"/>
    <col min="5" max="5" width="16.28515625" bestFit="1" customWidth="1"/>
    <col min="6" max="6" width="12.28515625" customWidth="1"/>
    <col min="7" max="7" width="13.85546875" bestFit="1" customWidth="1"/>
    <col min="8" max="8" width="22.7109375" bestFit="1" customWidth="1"/>
    <col min="10" max="10" width="13.85546875" bestFit="1" customWidth="1"/>
    <col min="11" max="11" width="16.85546875" bestFit="1" customWidth="1"/>
  </cols>
  <sheetData>
    <row r="1" spans="1:11" x14ac:dyDescent="0.25">
      <c r="A1" s="4" t="s">
        <v>529</v>
      </c>
      <c r="B1" t="s">
        <v>544</v>
      </c>
      <c r="D1" s="4" t="s">
        <v>529</v>
      </c>
      <c r="E1" s="12" t="s">
        <v>550</v>
      </c>
      <c r="G1" s="4" t="s">
        <v>529</v>
      </c>
      <c r="H1" s="12" t="s">
        <v>530</v>
      </c>
      <c r="J1" s="4" t="s">
        <v>529</v>
      </c>
      <c r="K1" t="s">
        <v>551</v>
      </c>
    </row>
    <row r="2" spans="1:11" x14ac:dyDescent="0.25">
      <c r="A2" s="5" t="s">
        <v>38</v>
      </c>
      <c r="B2" s="13">
        <v>5.2370000000000001</v>
      </c>
      <c r="D2" s="5" t="s">
        <v>38</v>
      </c>
      <c r="E2" s="12">
        <v>145412260000</v>
      </c>
      <c r="G2" s="5" t="s">
        <v>38</v>
      </c>
      <c r="H2" s="12">
        <v>16146330000</v>
      </c>
      <c r="J2" s="5" t="s">
        <v>38</v>
      </c>
      <c r="K2" s="61">
        <v>103</v>
      </c>
    </row>
    <row r="3" spans="1:11" x14ac:dyDescent="0.25">
      <c r="A3" s="5" t="s">
        <v>25</v>
      </c>
      <c r="B3" s="13">
        <v>5.4131999999999998</v>
      </c>
      <c r="D3" s="5" t="s">
        <v>25</v>
      </c>
      <c r="E3" s="12">
        <v>141985220000</v>
      </c>
      <c r="G3" s="5" t="s">
        <v>25</v>
      </c>
      <c r="H3" s="12">
        <v>15846840000</v>
      </c>
      <c r="J3" s="5" t="s">
        <v>25</v>
      </c>
      <c r="K3" s="61">
        <v>108</v>
      </c>
    </row>
    <row r="4" spans="1:11" x14ac:dyDescent="0.25">
      <c r="A4" s="5" t="s">
        <v>11</v>
      </c>
      <c r="B4" s="13">
        <v>5.2633999999999999</v>
      </c>
      <c r="D4" s="5" t="s">
        <v>11</v>
      </c>
      <c r="E4" s="12">
        <v>124285860000</v>
      </c>
      <c r="G4" s="5" t="s">
        <v>11</v>
      </c>
      <c r="H4" s="12">
        <v>14501240000</v>
      </c>
      <c r="J4" s="5" t="s">
        <v>11</v>
      </c>
      <c r="K4" s="61">
        <v>102</v>
      </c>
    </row>
    <row r="5" spans="1:11" x14ac:dyDescent="0.25">
      <c r="A5" s="5" t="s">
        <v>29</v>
      </c>
      <c r="B5" s="13">
        <v>5.3250000000000002</v>
      </c>
      <c r="D5" s="5" t="s">
        <v>29</v>
      </c>
      <c r="E5" s="12">
        <v>144755950000</v>
      </c>
      <c r="G5" s="5" t="s">
        <v>29</v>
      </c>
      <c r="H5" s="12">
        <v>15559090000</v>
      </c>
      <c r="J5" s="5" t="s">
        <v>29</v>
      </c>
      <c r="K5" s="61">
        <v>97</v>
      </c>
    </row>
    <row r="6" spans="1:11" x14ac:dyDescent="0.25">
      <c r="A6" s="5" t="s">
        <v>15</v>
      </c>
      <c r="B6" s="13">
        <v>4.2260999999999997</v>
      </c>
      <c r="D6" s="5" t="s">
        <v>15</v>
      </c>
      <c r="E6" s="12">
        <v>129465300000</v>
      </c>
      <c r="G6" s="5" t="s">
        <v>15</v>
      </c>
      <c r="H6" s="12">
        <v>14274880000</v>
      </c>
      <c r="J6" s="5" t="s">
        <v>15</v>
      </c>
      <c r="K6" s="61">
        <v>90</v>
      </c>
    </row>
  </sheetData>
  <pageMargins left="0.7" right="0.7" top="0.75" bottom="0.75" header="0.3" footer="0.3"/>
  <drawing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91FBC-B89E-48CC-A304-CCBA3EE18E95}">
  <sheetPr codeName="Sheet10"/>
  <dimension ref="I1:Q9"/>
  <sheetViews>
    <sheetView showGridLines="0" showRowColHeaders="0" workbookViewId="0">
      <selection activeCell="I7" sqref="I7:Q8"/>
    </sheetView>
  </sheetViews>
  <sheetFormatPr defaultRowHeight="15" x14ac:dyDescent="0.25"/>
  <cols>
    <col min="9" max="9" width="7.85546875" customWidth="1"/>
  </cols>
  <sheetData>
    <row r="1" spans="9:17" ht="26.25" customHeight="1" x14ac:dyDescent="0.25">
      <c r="I1" s="46" t="s">
        <v>548</v>
      </c>
      <c r="J1" s="47"/>
      <c r="K1" s="47"/>
      <c r="L1" s="47"/>
      <c r="M1" s="47"/>
      <c r="N1" s="47"/>
      <c r="O1" s="47"/>
      <c r="P1" s="47"/>
      <c r="Q1" s="48"/>
    </row>
    <row r="2" spans="9:17" ht="26.25" customHeight="1" thickBot="1" x14ac:dyDescent="0.3">
      <c r="I2" s="49"/>
      <c r="J2" s="50"/>
      <c r="K2" s="50"/>
      <c r="L2" s="50"/>
      <c r="M2" s="50"/>
      <c r="N2" s="50"/>
      <c r="O2" s="50"/>
      <c r="P2" s="50"/>
      <c r="Q2" s="51"/>
    </row>
    <row r="3" spans="9:17" ht="26.25" customHeight="1" x14ac:dyDescent="0.25"/>
    <row r="6" spans="9:17" ht="15.75" thickBot="1" x14ac:dyDescent="0.3"/>
    <row r="7" spans="9:17" ht="16.5" thickTop="1" thickBot="1" x14ac:dyDescent="0.3">
      <c r="I7" s="45" t="s">
        <v>549</v>
      </c>
      <c r="J7" s="45"/>
      <c r="K7" s="45"/>
      <c r="L7" s="45"/>
      <c r="M7" s="45"/>
      <c r="N7" s="45"/>
      <c r="O7" s="45"/>
      <c r="P7" s="45"/>
      <c r="Q7" s="45"/>
    </row>
    <row r="8" spans="9:17" ht="16.5" thickTop="1" thickBot="1" x14ac:dyDescent="0.3">
      <c r="I8" s="45"/>
      <c r="J8" s="45"/>
      <c r="K8" s="45"/>
      <c r="L8" s="45"/>
      <c r="M8" s="45"/>
      <c r="N8" s="45"/>
      <c r="O8" s="45"/>
      <c r="P8" s="45"/>
      <c r="Q8" s="45"/>
    </row>
    <row r="9" spans="9:17" ht="15.75" thickTop="1" x14ac:dyDescent="0.25"/>
  </sheetData>
  <sheetProtection sheet="1" objects="1" scenarios="1" selectLockedCells="1"/>
  <mergeCells count="2">
    <mergeCell ref="I7:Q8"/>
    <mergeCell ref="I1:Q2"/>
  </mergeCells>
  <dataValidations count="1">
    <dataValidation type="list" allowBlank="1" showInputMessage="1" showErrorMessage="1" sqref="I7:Q8" xr:uid="{5E187A25-1C0F-4C20-AAF3-5F0E53E2D47F}">
      <formula1>"Funding by Region,Valuation by Region,Market Share differences by Region,Industry Numbers by Region"</formula1>
    </dataValidation>
  </dataValidation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4B417-0E65-4FC0-A6AA-FE0081AB8241}">
  <sheetPr codeName="Sheet12"/>
  <dimension ref="A1:J13"/>
  <sheetViews>
    <sheetView workbookViewId="0">
      <selection activeCell="F2" sqref="F2"/>
    </sheetView>
  </sheetViews>
  <sheetFormatPr defaultRowHeight="15" x14ac:dyDescent="0.25"/>
  <cols>
    <col min="1" max="1" width="13.42578125" bestFit="1" customWidth="1"/>
    <col min="2" max="3" width="31.42578125" bestFit="1" customWidth="1"/>
    <col min="6" max="6" width="22" bestFit="1" customWidth="1"/>
    <col min="7" max="7" width="16.85546875" bestFit="1" customWidth="1"/>
    <col min="8" max="8" width="4.140625" bestFit="1" customWidth="1"/>
    <col min="9" max="9" width="7.28515625" bestFit="1" customWidth="1"/>
    <col min="10" max="10" width="11.28515625" bestFit="1" customWidth="1"/>
  </cols>
  <sheetData>
    <row r="1" spans="1:10" x14ac:dyDescent="0.25">
      <c r="A1" s="4" t="s">
        <v>529</v>
      </c>
      <c r="B1" t="s">
        <v>552</v>
      </c>
      <c r="F1" s="4" t="s">
        <v>553</v>
      </c>
      <c r="G1" s="4" t="s">
        <v>541</v>
      </c>
    </row>
    <row r="2" spans="1:10" x14ac:dyDescent="0.25">
      <c r="A2" s="5" t="s">
        <v>20</v>
      </c>
      <c r="B2" s="14">
        <v>0.214</v>
      </c>
      <c r="F2" s="4" t="s">
        <v>529</v>
      </c>
      <c r="G2" t="s">
        <v>20</v>
      </c>
      <c r="H2" t="s">
        <v>23</v>
      </c>
      <c r="I2" t="s">
        <v>12</v>
      </c>
      <c r="J2" t="s">
        <v>528</v>
      </c>
    </row>
    <row r="3" spans="1:10" x14ac:dyDescent="0.25">
      <c r="A3" s="5" t="s">
        <v>23</v>
      </c>
      <c r="B3" s="14">
        <v>0.09</v>
      </c>
      <c r="F3" s="5" t="s">
        <v>22</v>
      </c>
      <c r="G3" s="61">
        <v>11</v>
      </c>
      <c r="H3" s="61">
        <v>4</v>
      </c>
      <c r="I3" s="61">
        <v>47</v>
      </c>
      <c r="J3" s="61">
        <v>62</v>
      </c>
    </row>
    <row r="4" spans="1:10" x14ac:dyDescent="0.25">
      <c r="A4" s="5" t="s">
        <v>12</v>
      </c>
      <c r="B4" s="14">
        <v>0.69599999999999995</v>
      </c>
      <c r="F4" s="5" t="s">
        <v>36</v>
      </c>
      <c r="G4" s="61">
        <v>13</v>
      </c>
      <c r="H4" s="61">
        <v>4</v>
      </c>
      <c r="I4" s="61">
        <v>34</v>
      </c>
      <c r="J4" s="61">
        <v>51</v>
      </c>
    </row>
    <row r="5" spans="1:10" x14ac:dyDescent="0.25">
      <c r="A5" s="5" t="s">
        <v>528</v>
      </c>
      <c r="B5" s="14">
        <v>1</v>
      </c>
      <c r="F5" s="5" t="s">
        <v>72</v>
      </c>
      <c r="G5" s="61">
        <v>18</v>
      </c>
      <c r="H5" s="61">
        <v>7</v>
      </c>
      <c r="I5" s="61">
        <v>45</v>
      </c>
      <c r="J5" s="61">
        <v>70</v>
      </c>
    </row>
    <row r="6" spans="1:10" x14ac:dyDescent="0.25">
      <c r="F6" s="5" t="s">
        <v>14</v>
      </c>
      <c r="G6" s="61">
        <v>12</v>
      </c>
      <c r="H6" s="61">
        <v>7</v>
      </c>
      <c r="I6" s="61">
        <v>55</v>
      </c>
      <c r="J6" s="61">
        <v>74</v>
      </c>
    </row>
    <row r="7" spans="1:10" x14ac:dyDescent="0.25">
      <c r="F7" s="5" t="s">
        <v>31</v>
      </c>
      <c r="G7" s="61">
        <v>24</v>
      </c>
      <c r="H7" s="61">
        <v>4</v>
      </c>
      <c r="I7" s="61">
        <v>43</v>
      </c>
      <c r="J7" s="61">
        <v>71</v>
      </c>
    </row>
    <row r="8" spans="1:10" x14ac:dyDescent="0.25">
      <c r="F8" s="5" t="s">
        <v>18</v>
      </c>
      <c r="G8" s="61">
        <v>8</v>
      </c>
      <c r="H8" s="61">
        <v>7</v>
      </c>
      <c r="I8" s="61">
        <v>47</v>
      </c>
      <c r="J8" s="61">
        <v>62</v>
      </c>
    </row>
    <row r="9" spans="1:10" x14ac:dyDescent="0.25">
      <c r="A9" s="4" t="s">
        <v>529</v>
      </c>
      <c r="B9" t="s">
        <v>540</v>
      </c>
      <c r="F9" s="5" t="s">
        <v>27</v>
      </c>
      <c r="G9" s="61">
        <v>9</v>
      </c>
      <c r="H9" s="61">
        <v>6</v>
      </c>
      <c r="I9" s="61">
        <v>34</v>
      </c>
      <c r="J9" s="61">
        <v>49</v>
      </c>
    </row>
    <row r="10" spans="1:10" x14ac:dyDescent="0.25">
      <c r="A10" s="5" t="s">
        <v>20</v>
      </c>
      <c r="B10" s="7">
        <v>159976635.51401868</v>
      </c>
      <c r="F10" s="5" t="s">
        <v>10</v>
      </c>
      <c r="G10" s="61">
        <v>12</v>
      </c>
      <c r="H10" s="61">
        <v>6</v>
      </c>
      <c r="I10" s="61">
        <v>43</v>
      </c>
      <c r="J10" s="61">
        <v>61</v>
      </c>
    </row>
    <row r="11" spans="1:10" x14ac:dyDescent="0.25">
      <c r="A11" s="5" t="s">
        <v>23</v>
      </c>
      <c r="B11" s="7">
        <v>154586444.44444445</v>
      </c>
      <c r="F11" s="5" t="s">
        <v>528</v>
      </c>
      <c r="G11" s="61">
        <v>107</v>
      </c>
      <c r="H11" s="61">
        <v>45</v>
      </c>
      <c r="I11" s="61">
        <v>348</v>
      </c>
      <c r="J11" s="61">
        <v>500</v>
      </c>
    </row>
    <row r="12" spans="1:10" x14ac:dyDescent="0.25">
      <c r="A12" s="5" t="s">
        <v>12</v>
      </c>
      <c r="B12" s="7">
        <v>150156580.45977011</v>
      </c>
    </row>
    <row r="13" spans="1:10" x14ac:dyDescent="0.25">
      <c r="A13" s="5" t="s">
        <v>528</v>
      </c>
      <c r="B13" s="7">
        <v>152656760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B7EB8-0F76-4EDA-BB55-06708AB3E768}">
  <sheetPr codeName="Sheet11"/>
  <dimension ref="H1:O3"/>
  <sheetViews>
    <sheetView showGridLines="0" showRowColHeaders="0" workbookViewId="0">
      <selection activeCell="O41" sqref="O41"/>
    </sheetView>
  </sheetViews>
  <sheetFormatPr defaultRowHeight="15" x14ac:dyDescent="0.25"/>
  <sheetData>
    <row r="1" spans="8:15" x14ac:dyDescent="0.25">
      <c r="H1" s="36" t="s">
        <v>554</v>
      </c>
      <c r="I1" s="37"/>
      <c r="J1" s="37"/>
      <c r="K1" s="37"/>
      <c r="L1" s="37"/>
      <c r="M1" s="37"/>
      <c r="N1" s="37"/>
      <c r="O1" s="38"/>
    </row>
    <row r="2" spans="8:15" x14ac:dyDescent="0.25">
      <c r="H2" s="39"/>
      <c r="I2" s="40"/>
      <c r="J2" s="40"/>
      <c r="K2" s="40"/>
      <c r="L2" s="40"/>
      <c r="M2" s="40"/>
      <c r="N2" s="40"/>
      <c r="O2" s="41"/>
    </row>
    <row r="3" spans="8:15" ht="15.75" thickBot="1" x14ac:dyDescent="0.3">
      <c r="H3" s="42"/>
      <c r="I3" s="43"/>
      <c r="J3" s="43"/>
      <c r="K3" s="43"/>
      <c r="L3" s="43"/>
      <c r="M3" s="43"/>
      <c r="N3" s="43"/>
      <c r="O3" s="44"/>
    </row>
  </sheetData>
  <sheetProtection sheet="1" objects="1" scenarios="1"/>
  <mergeCells count="1">
    <mergeCell ref="H1:O3"/>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05AC3-90F3-45AA-9D7E-05EB8BFDFFED}">
  <sheetPr codeName="Sheet13"/>
  <dimension ref="A1:P38"/>
  <sheetViews>
    <sheetView workbookViewId="0">
      <selection activeCell="K1" sqref="K1"/>
    </sheetView>
  </sheetViews>
  <sheetFormatPr defaultRowHeight="15" x14ac:dyDescent="0.25"/>
  <cols>
    <col min="1" max="1" width="13.42578125" bestFit="1" customWidth="1"/>
    <col min="2" max="2" width="22.7109375" bestFit="1" customWidth="1"/>
    <col min="3" max="3" width="17.5703125" bestFit="1" customWidth="1"/>
    <col min="5" max="5" width="11.28515625" bestFit="1" customWidth="1"/>
    <col min="6" max="6" width="15.7109375" bestFit="1" customWidth="1"/>
    <col min="8" max="8" width="11.28515625" bestFit="1" customWidth="1"/>
    <col min="9" max="9" width="11" bestFit="1" customWidth="1"/>
    <col min="11" max="11" width="13.42578125" bestFit="1" customWidth="1"/>
    <col min="12" max="12" width="16.42578125" bestFit="1" customWidth="1"/>
    <col min="14" max="14" width="11.28515625" bestFit="1" customWidth="1"/>
    <col min="15" max="15" width="18.42578125" bestFit="1" customWidth="1"/>
    <col min="16" max="16" width="16.140625" bestFit="1" customWidth="1"/>
  </cols>
  <sheetData>
    <row r="1" spans="1:16" x14ac:dyDescent="0.25">
      <c r="A1" s="4" t="s">
        <v>529</v>
      </c>
      <c r="B1" t="s">
        <v>530</v>
      </c>
      <c r="C1" t="s">
        <v>550</v>
      </c>
      <c r="K1" s="4" t="s">
        <v>529</v>
      </c>
      <c r="L1" t="s">
        <v>536</v>
      </c>
    </row>
    <row r="2" spans="1:16" x14ac:dyDescent="0.25">
      <c r="A2" s="5">
        <v>3</v>
      </c>
      <c r="B2" s="7">
        <v>803630000</v>
      </c>
      <c r="C2" s="7">
        <v>9350720000</v>
      </c>
      <c r="K2" s="5">
        <v>3</v>
      </c>
      <c r="L2" s="7">
        <v>420730000</v>
      </c>
    </row>
    <row r="3" spans="1:16" x14ac:dyDescent="0.25">
      <c r="A3" s="5">
        <v>4</v>
      </c>
      <c r="B3" s="7">
        <v>2806460000</v>
      </c>
      <c r="C3" s="7">
        <v>23268040000</v>
      </c>
      <c r="K3" s="5">
        <v>4</v>
      </c>
      <c r="L3" s="7">
        <v>785550000</v>
      </c>
    </row>
    <row r="4" spans="1:16" x14ac:dyDescent="0.25">
      <c r="A4" s="5">
        <v>5</v>
      </c>
      <c r="B4" s="7">
        <v>2604750000</v>
      </c>
      <c r="C4" s="7">
        <v>22305450000</v>
      </c>
      <c r="E4" s="15" t="s">
        <v>555</v>
      </c>
      <c r="F4" s="15" t="s">
        <v>525</v>
      </c>
      <c r="H4" s="15" t="s">
        <v>555</v>
      </c>
      <c r="I4" s="15" t="s">
        <v>526</v>
      </c>
      <c r="K4" s="5">
        <v>5</v>
      </c>
      <c r="L4" s="7">
        <v>813460000</v>
      </c>
    </row>
    <row r="5" spans="1:16" x14ac:dyDescent="0.25">
      <c r="A5" s="5">
        <v>6</v>
      </c>
      <c r="B5" s="7">
        <v>2140130000</v>
      </c>
      <c r="C5" s="7">
        <v>23111520000</v>
      </c>
      <c r="E5" cm="1">
        <f t="array" ref="E5:E37">_xlfn._xlws.FILTER(A2:A34,A2:A34&lt;&gt;0)</f>
        <v>3</v>
      </c>
      <c r="F5" cm="1">
        <f t="array" ref="F5:F37">_xlfn._xlws.FILTER(B2:B34,B2:B34&lt;&gt;0)</f>
        <v>803630000</v>
      </c>
      <c r="H5" cm="1">
        <f t="array" ref="H5:H37">_xlfn._xlws.FILTER(A2:A34,A2:A34&lt;&gt;0)</f>
        <v>3</v>
      </c>
      <c r="I5" cm="1">
        <f t="array" ref="I5:I37">_xlfn._xlws.FILTER(C2:C34,C2:C34&lt;&gt;0)</f>
        <v>9350720000</v>
      </c>
      <c r="K5" s="5">
        <v>6</v>
      </c>
      <c r="L5" s="7">
        <v>760560000</v>
      </c>
      <c r="N5" s="15" t="s">
        <v>555</v>
      </c>
      <c r="O5" s="15" t="s">
        <v>557</v>
      </c>
      <c r="P5" s="15"/>
    </row>
    <row r="6" spans="1:16" x14ac:dyDescent="0.25">
      <c r="A6" s="5">
        <v>7</v>
      </c>
      <c r="B6" s="7">
        <v>1674970000</v>
      </c>
      <c r="C6" s="7">
        <v>11800210000</v>
      </c>
      <c r="E6">
        <v>4</v>
      </c>
      <c r="F6">
        <v>2806460000</v>
      </c>
      <c r="H6">
        <v>4</v>
      </c>
      <c r="I6">
        <v>23268040000</v>
      </c>
      <c r="K6" s="5">
        <v>7</v>
      </c>
      <c r="L6" s="7">
        <v>657470000</v>
      </c>
      <c r="N6" cm="1">
        <f t="array" ref="N6:N38">_xlfn._xlws.FILTER(K2:K34,K2:K34&lt;&gt;0)</f>
        <v>3</v>
      </c>
      <c r="O6" s="16" cm="1">
        <f t="array" ref="O6:O38">_xlfn._xlws.FILTER(L2:L34,L2:L34&lt;&gt;0)/_xlfn._xlws.FILTER(K2:K34,K2:K34&lt;&gt;0)</f>
        <v>140243333.33333334</v>
      </c>
    </row>
    <row r="7" spans="1:16" x14ac:dyDescent="0.25">
      <c r="A7" s="5">
        <v>8</v>
      </c>
      <c r="B7" s="7">
        <v>2316420000</v>
      </c>
      <c r="C7" s="7">
        <v>23248370000</v>
      </c>
      <c r="E7">
        <v>5</v>
      </c>
      <c r="F7">
        <v>2604750000</v>
      </c>
      <c r="H7">
        <v>5</v>
      </c>
      <c r="I7">
        <v>22305450000</v>
      </c>
      <c r="K7" s="5">
        <v>8</v>
      </c>
      <c r="L7" s="7">
        <v>749320000</v>
      </c>
      <c r="N7">
        <v>4</v>
      </c>
      <c r="O7" s="16">
        <v>196387500</v>
      </c>
    </row>
    <row r="8" spans="1:16" x14ac:dyDescent="0.25">
      <c r="A8" s="5">
        <v>9</v>
      </c>
      <c r="B8" s="7">
        <v>2459630000</v>
      </c>
      <c r="C8" s="7">
        <v>22171270000</v>
      </c>
      <c r="E8">
        <v>6</v>
      </c>
      <c r="F8">
        <v>2140130000</v>
      </c>
      <c r="H8">
        <v>6</v>
      </c>
      <c r="I8">
        <v>23111520000</v>
      </c>
      <c r="K8" s="5">
        <v>9</v>
      </c>
      <c r="L8" s="7">
        <v>669500000</v>
      </c>
      <c r="N8">
        <v>5</v>
      </c>
      <c r="O8" s="16">
        <v>162692000</v>
      </c>
    </row>
    <row r="9" spans="1:16" x14ac:dyDescent="0.25">
      <c r="A9" s="5">
        <v>10</v>
      </c>
      <c r="B9" s="7">
        <v>2378620000</v>
      </c>
      <c r="C9" s="7">
        <v>20575420000</v>
      </c>
      <c r="E9">
        <v>7</v>
      </c>
      <c r="F9">
        <v>1674970000</v>
      </c>
      <c r="H9">
        <v>7</v>
      </c>
      <c r="I9">
        <v>11800210000</v>
      </c>
      <c r="K9" s="5">
        <v>10</v>
      </c>
      <c r="L9" s="7">
        <v>821950000</v>
      </c>
      <c r="N9">
        <v>6</v>
      </c>
      <c r="O9" s="16">
        <v>126760000</v>
      </c>
    </row>
    <row r="10" spans="1:16" x14ac:dyDescent="0.25">
      <c r="A10" s="5">
        <v>11</v>
      </c>
      <c r="B10" s="7">
        <v>2470040000</v>
      </c>
      <c r="C10" s="7">
        <v>20532540000</v>
      </c>
      <c r="E10">
        <v>8</v>
      </c>
      <c r="F10">
        <v>2316420000</v>
      </c>
      <c r="H10">
        <v>8</v>
      </c>
      <c r="I10">
        <v>23248370000</v>
      </c>
      <c r="K10" s="5">
        <v>11</v>
      </c>
      <c r="L10" s="7">
        <v>655170000</v>
      </c>
      <c r="N10">
        <v>7</v>
      </c>
      <c r="O10" s="16">
        <v>93924285.714285716</v>
      </c>
    </row>
    <row r="11" spans="1:16" x14ac:dyDescent="0.25">
      <c r="A11" s="5">
        <v>12</v>
      </c>
      <c r="B11" s="7">
        <v>1529130000</v>
      </c>
      <c r="C11" s="7">
        <v>12122860000</v>
      </c>
      <c r="E11">
        <v>9</v>
      </c>
      <c r="F11">
        <v>2459630000</v>
      </c>
      <c r="H11">
        <v>9</v>
      </c>
      <c r="I11">
        <v>22171270000</v>
      </c>
      <c r="K11" s="5">
        <v>12</v>
      </c>
      <c r="L11" s="7">
        <v>671260000</v>
      </c>
      <c r="N11">
        <v>8</v>
      </c>
      <c r="O11" s="16">
        <v>93665000</v>
      </c>
    </row>
    <row r="12" spans="1:16" x14ac:dyDescent="0.25">
      <c r="A12" s="5">
        <v>13</v>
      </c>
      <c r="B12" s="7">
        <v>2733390000</v>
      </c>
      <c r="C12" s="7">
        <v>20029140000</v>
      </c>
      <c r="E12">
        <v>10</v>
      </c>
      <c r="F12">
        <v>2378620000</v>
      </c>
      <c r="H12">
        <v>10</v>
      </c>
      <c r="I12">
        <v>20575420000</v>
      </c>
      <c r="K12" s="5">
        <v>13</v>
      </c>
      <c r="L12" s="7">
        <v>871300000</v>
      </c>
      <c r="N12">
        <v>9</v>
      </c>
      <c r="O12" s="16">
        <v>74388888.888888896</v>
      </c>
    </row>
    <row r="13" spans="1:16" x14ac:dyDescent="0.25">
      <c r="A13" s="5">
        <v>14</v>
      </c>
      <c r="B13" s="7">
        <v>2966110000</v>
      </c>
      <c r="C13" s="7">
        <v>30542310000</v>
      </c>
      <c r="E13">
        <v>11</v>
      </c>
      <c r="F13">
        <v>2470040000</v>
      </c>
      <c r="H13">
        <v>11</v>
      </c>
      <c r="I13">
        <v>20532540000</v>
      </c>
      <c r="K13" s="5">
        <v>14</v>
      </c>
      <c r="L13" s="7">
        <v>668560000</v>
      </c>
      <c r="N13">
        <v>10</v>
      </c>
      <c r="O13" s="16">
        <v>82195000</v>
      </c>
    </row>
    <row r="14" spans="1:16" x14ac:dyDescent="0.25">
      <c r="A14" s="5">
        <v>15</v>
      </c>
      <c r="B14" s="7">
        <v>1056280000</v>
      </c>
      <c r="C14" s="7">
        <v>9072010000</v>
      </c>
      <c r="E14">
        <v>12</v>
      </c>
      <c r="F14">
        <v>1529130000</v>
      </c>
      <c r="H14">
        <v>12</v>
      </c>
      <c r="I14">
        <v>12122860000</v>
      </c>
      <c r="K14" s="5">
        <v>15</v>
      </c>
      <c r="L14" s="7">
        <v>579420000</v>
      </c>
      <c r="N14">
        <v>11</v>
      </c>
      <c r="O14" s="16">
        <v>59560909.090909094</v>
      </c>
    </row>
    <row r="15" spans="1:16" x14ac:dyDescent="0.25">
      <c r="A15" s="5">
        <v>16</v>
      </c>
      <c r="B15" s="7">
        <v>2666110000</v>
      </c>
      <c r="C15" s="7">
        <v>25561080000</v>
      </c>
      <c r="E15">
        <v>13</v>
      </c>
      <c r="F15">
        <v>2733390000</v>
      </c>
      <c r="H15">
        <v>13</v>
      </c>
      <c r="I15">
        <v>20029140000</v>
      </c>
      <c r="K15" s="5">
        <v>16</v>
      </c>
      <c r="L15" s="7">
        <v>868320000</v>
      </c>
      <c r="N15">
        <v>12</v>
      </c>
      <c r="O15" s="16">
        <v>55938333.333333336</v>
      </c>
    </row>
    <row r="16" spans="1:16" x14ac:dyDescent="0.25">
      <c r="A16" s="5">
        <v>17</v>
      </c>
      <c r="B16" s="7">
        <v>3407410000</v>
      </c>
      <c r="C16" s="7">
        <v>31400640000</v>
      </c>
      <c r="E16">
        <v>14</v>
      </c>
      <c r="F16">
        <v>2966110000</v>
      </c>
      <c r="H16">
        <v>14</v>
      </c>
      <c r="I16">
        <v>30542310000</v>
      </c>
      <c r="K16" s="5">
        <v>17</v>
      </c>
      <c r="L16" s="7">
        <v>755140000</v>
      </c>
      <c r="N16">
        <v>13</v>
      </c>
      <c r="O16" s="16">
        <v>67023076.92307692</v>
      </c>
    </row>
    <row r="17" spans="1:15" x14ac:dyDescent="0.25">
      <c r="A17" s="5">
        <v>18</v>
      </c>
      <c r="B17" s="7">
        <v>1783690000</v>
      </c>
      <c r="C17" s="7">
        <v>13689790000</v>
      </c>
      <c r="E17">
        <v>15</v>
      </c>
      <c r="F17">
        <v>1056280000</v>
      </c>
      <c r="H17">
        <v>15</v>
      </c>
      <c r="I17">
        <v>9072010000</v>
      </c>
      <c r="K17" s="5">
        <v>18</v>
      </c>
      <c r="L17" s="7">
        <v>619810000</v>
      </c>
      <c r="N17">
        <v>14</v>
      </c>
      <c r="O17" s="16">
        <v>47754285.714285716</v>
      </c>
    </row>
    <row r="18" spans="1:15" x14ac:dyDescent="0.25">
      <c r="A18" s="5">
        <v>19</v>
      </c>
      <c r="B18" s="7">
        <v>2635240000</v>
      </c>
      <c r="C18" s="7">
        <v>24881660000</v>
      </c>
      <c r="E18">
        <v>16</v>
      </c>
      <c r="F18">
        <v>2666110000</v>
      </c>
      <c r="H18">
        <v>16</v>
      </c>
      <c r="I18">
        <v>25561080000</v>
      </c>
      <c r="K18" s="5">
        <v>19</v>
      </c>
      <c r="L18" s="7">
        <v>751730000</v>
      </c>
      <c r="N18">
        <v>15</v>
      </c>
      <c r="O18" s="16">
        <v>38628000</v>
      </c>
    </row>
    <row r="19" spans="1:15" x14ac:dyDescent="0.25">
      <c r="A19" s="5">
        <v>20</v>
      </c>
      <c r="B19" s="7">
        <v>3570800000</v>
      </c>
      <c r="C19" s="7">
        <v>31155070000</v>
      </c>
      <c r="E19">
        <v>17</v>
      </c>
      <c r="F19">
        <v>3407410000</v>
      </c>
      <c r="H19">
        <v>17</v>
      </c>
      <c r="I19">
        <v>31400640000</v>
      </c>
      <c r="K19" s="5">
        <v>20</v>
      </c>
      <c r="L19" s="7">
        <v>890230000</v>
      </c>
      <c r="N19">
        <v>16</v>
      </c>
      <c r="O19" s="16">
        <v>54270000</v>
      </c>
    </row>
    <row r="20" spans="1:15" x14ac:dyDescent="0.25">
      <c r="A20" s="5">
        <v>21</v>
      </c>
      <c r="B20" s="7">
        <v>1866960000</v>
      </c>
      <c r="C20" s="7">
        <v>19236110000</v>
      </c>
      <c r="E20">
        <v>18</v>
      </c>
      <c r="F20">
        <v>1783690000</v>
      </c>
      <c r="H20">
        <v>18</v>
      </c>
      <c r="I20">
        <v>13689790000</v>
      </c>
      <c r="K20" s="5">
        <v>21</v>
      </c>
      <c r="L20" s="7">
        <v>670740000</v>
      </c>
      <c r="N20">
        <v>17</v>
      </c>
      <c r="O20" s="16">
        <v>44420000</v>
      </c>
    </row>
    <row r="21" spans="1:15" x14ac:dyDescent="0.25">
      <c r="A21" s="5">
        <v>22</v>
      </c>
      <c r="B21" s="7">
        <v>3377020000</v>
      </c>
      <c r="C21" s="7">
        <v>32405780000</v>
      </c>
      <c r="E21">
        <v>19</v>
      </c>
      <c r="F21">
        <v>2635240000</v>
      </c>
      <c r="H21">
        <v>19</v>
      </c>
      <c r="I21">
        <v>24881660000</v>
      </c>
      <c r="K21" s="5">
        <v>22</v>
      </c>
      <c r="L21" s="7">
        <v>1071310000</v>
      </c>
      <c r="N21">
        <v>18</v>
      </c>
      <c r="O21" s="16">
        <v>34433888.888888888</v>
      </c>
    </row>
    <row r="22" spans="1:15" x14ac:dyDescent="0.25">
      <c r="A22" s="5">
        <v>23</v>
      </c>
      <c r="B22" s="7">
        <v>2626060000</v>
      </c>
      <c r="C22" s="7">
        <v>23216850000</v>
      </c>
      <c r="E22">
        <v>20</v>
      </c>
      <c r="F22">
        <v>3570800000</v>
      </c>
      <c r="H22">
        <v>20</v>
      </c>
      <c r="I22">
        <v>31155070000</v>
      </c>
      <c r="K22" s="5">
        <v>23</v>
      </c>
      <c r="L22" s="7">
        <v>714400000</v>
      </c>
      <c r="N22">
        <v>19</v>
      </c>
      <c r="O22" s="16">
        <v>39564736.842105262</v>
      </c>
    </row>
    <row r="23" spans="1:15" x14ac:dyDescent="0.25">
      <c r="A23" s="5">
        <v>24</v>
      </c>
      <c r="B23" s="7">
        <v>2166160000</v>
      </c>
      <c r="C23" s="7">
        <v>18563950000</v>
      </c>
      <c r="E23">
        <v>21</v>
      </c>
      <c r="F23">
        <v>1866960000</v>
      </c>
      <c r="H23">
        <v>21</v>
      </c>
      <c r="I23">
        <v>19236110000</v>
      </c>
      <c r="K23" s="5">
        <v>24</v>
      </c>
      <c r="L23" s="7">
        <v>810270000</v>
      </c>
      <c r="N23">
        <v>20</v>
      </c>
      <c r="O23" s="16">
        <v>44511500</v>
      </c>
    </row>
    <row r="24" spans="1:15" x14ac:dyDescent="0.25">
      <c r="A24" s="5">
        <v>25</v>
      </c>
      <c r="B24" s="7">
        <v>3005290000</v>
      </c>
      <c r="C24" s="7">
        <v>30379470000</v>
      </c>
      <c r="E24">
        <v>22</v>
      </c>
      <c r="F24">
        <v>3377020000</v>
      </c>
      <c r="H24">
        <v>22</v>
      </c>
      <c r="I24">
        <v>32405780000</v>
      </c>
      <c r="K24" s="5">
        <v>25</v>
      </c>
      <c r="L24" s="7">
        <v>1102590000</v>
      </c>
      <c r="N24">
        <v>21</v>
      </c>
      <c r="O24" s="16">
        <v>31940000</v>
      </c>
    </row>
    <row r="25" spans="1:15" x14ac:dyDescent="0.25">
      <c r="A25" s="5">
        <v>26</v>
      </c>
      <c r="B25" s="7">
        <v>1888670000</v>
      </c>
      <c r="C25" s="7">
        <v>14800030000</v>
      </c>
      <c r="E25">
        <v>23</v>
      </c>
      <c r="F25">
        <v>2626060000</v>
      </c>
      <c r="H25">
        <v>23</v>
      </c>
      <c r="I25">
        <v>23216850000</v>
      </c>
      <c r="K25" s="5">
        <v>26</v>
      </c>
      <c r="L25" s="7">
        <v>695230000</v>
      </c>
      <c r="N25">
        <v>22</v>
      </c>
      <c r="O25" s="16">
        <v>48695909.090909094</v>
      </c>
    </row>
    <row r="26" spans="1:15" x14ac:dyDescent="0.25">
      <c r="A26" s="5">
        <v>27</v>
      </c>
      <c r="B26" s="7">
        <v>2221160000</v>
      </c>
      <c r="C26" s="7">
        <v>22743300000</v>
      </c>
      <c r="E26">
        <v>24</v>
      </c>
      <c r="F26">
        <v>2166160000</v>
      </c>
      <c r="H26">
        <v>24</v>
      </c>
      <c r="I26">
        <v>18563950000</v>
      </c>
      <c r="K26" s="5">
        <v>27</v>
      </c>
      <c r="L26" s="7">
        <v>783570000</v>
      </c>
      <c r="N26">
        <v>23</v>
      </c>
      <c r="O26" s="16">
        <v>31060869.565217391</v>
      </c>
    </row>
    <row r="27" spans="1:15" x14ac:dyDescent="0.25">
      <c r="A27" s="5">
        <v>28</v>
      </c>
      <c r="B27" s="7">
        <v>1250300000</v>
      </c>
      <c r="C27" s="7">
        <v>12363250000</v>
      </c>
      <c r="E27">
        <v>25</v>
      </c>
      <c r="F27">
        <v>3005290000</v>
      </c>
      <c r="H27">
        <v>25</v>
      </c>
      <c r="I27">
        <v>30379470000</v>
      </c>
      <c r="K27" s="5">
        <v>28</v>
      </c>
      <c r="L27" s="7">
        <v>544820000</v>
      </c>
      <c r="N27">
        <v>24</v>
      </c>
      <c r="O27" s="16">
        <v>33761250</v>
      </c>
    </row>
    <row r="28" spans="1:15" x14ac:dyDescent="0.25">
      <c r="A28" s="5">
        <v>29</v>
      </c>
      <c r="B28" s="7">
        <v>1913340000</v>
      </c>
      <c r="C28" s="7">
        <v>16837450000</v>
      </c>
      <c r="E28">
        <v>26</v>
      </c>
      <c r="F28">
        <v>1888670000</v>
      </c>
      <c r="H28">
        <v>26</v>
      </c>
      <c r="I28">
        <v>14800030000</v>
      </c>
      <c r="K28" s="5">
        <v>29</v>
      </c>
      <c r="L28" s="7">
        <v>765930000</v>
      </c>
      <c r="N28">
        <v>25</v>
      </c>
      <c r="O28" s="16">
        <v>44103600</v>
      </c>
    </row>
    <row r="29" spans="1:15" x14ac:dyDescent="0.25">
      <c r="A29" s="5">
        <v>30</v>
      </c>
      <c r="B29" s="7">
        <v>2899950000</v>
      </c>
      <c r="C29" s="7">
        <v>29054310000</v>
      </c>
      <c r="E29">
        <v>27</v>
      </c>
      <c r="F29">
        <v>2221160000</v>
      </c>
      <c r="H29">
        <v>27</v>
      </c>
      <c r="I29">
        <v>22743300000</v>
      </c>
      <c r="K29" s="5">
        <v>30</v>
      </c>
      <c r="L29" s="7">
        <v>893240000</v>
      </c>
      <c r="N29">
        <v>26</v>
      </c>
      <c r="O29" s="16">
        <v>26739615.384615384</v>
      </c>
    </row>
    <row r="30" spans="1:15" x14ac:dyDescent="0.25">
      <c r="A30" s="5">
        <v>31</v>
      </c>
      <c r="B30" s="7">
        <v>1813180000</v>
      </c>
      <c r="C30" s="7">
        <v>13549410000</v>
      </c>
      <c r="E30">
        <v>28</v>
      </c>
      <c r="F30">
        <v>1250300000</v>
      </c>
      <c r="H30">
        <v>28</v>
      </c>
      <c r="I30">
        <v>12363250000</v>
      </c>
      <c r="K30" s="5">
        <v>31</v>
      </c>
      <c r="L30" s="7">
        <v>676590000</v>
      </c>
      <c r="N30">
        <v>27</v>
      </c>
      <c r="O30" s="16">
        <v>29021111.111111112</v>
      </c>
    </row>
    <row r="31" spans="1:15" x14ac:dyDescent="0.25">
      <c r="A31" s="5">
        <v>32</v>
      </c>
      <c r="B31" s="7">
        <v>3376080000</v>
      </c>
      <c r="C31" s="7">
        <v>29739260000</v>
      </c>
      <c r="E31">
        <v>29</v>
      </c>
      <c r="F31">
        <v>1913340000</v>
      </c>
      <c r="H31">
        <v>29</v>
      </c>
      <c r="I31">
        <v>16837450000</v>
      </c>
      <c r="K31" s="5">
        <v>32</v>
      </c>
      <c r="L31" s="7">
        <v>1002070000</v>
      </c>
      <c r="N31">
        <v>28</v>
      </c>
      <c r="O31" s="16">
        <v>19457857.142857142</v>
      </c>
    </row>
    <row r="32" spans="1:15" x14ac:dyDescent="0.25">
      <c r="A32" s="5">
        <v>33</v>
      </c>
      <c r="B32" s="7">
        <v>1502030000</v>
      </c>
      <c r="C32" s="7">
        <v>12657300000</v>
      </c>
      <c r="E32">
        <v>30</v>
      </c>
      <c r="F32">
        <v>2899950000</v>
      </c>
      <c r="H32">
        <v>30</v>
      </c>
      <c r="I32">
        <v>29054310000</v>
      </c>
      <c r="K32" s="5">
        <v>33</v>
      </c>
      <c r="L32" s="7">
        <v>445790000</v>
      </c>
      <c r="N32">
        <v>29</v>
      </c>
      <c r="O32" s="16">
        <v>26411379.310344826</v>
      </c>
    </row>
    <row r="33" spans="1:15" x14ac:dyDescent="0.25">
      <c r="A33" s="5">
        <v>34</v>
      </c>
      <c r="B33" s="7">
        <v>2534870000</v>
      </c>
      <c r="C33" s="7">
        <v>21493130000</v>
      </c>
      <c r="E33">
        <v>31</v>
      </c>
      <c r="F33">
        <v>1813180000</v>
      </c>
      <c r="H33">
        <v>31</v>
      </c>
      <c r="I33">
        <v>13549410000</v>
      </c>
      <c r="K33" s="5">
        <v>34</v>
      </c>
      <c r="L33" s="7">
        <v>900810000</v>
      </c>
      <c r="N33">
        <v>30</v>
      </c>
      <c r="O33" s="16">
        <v>29774666.666666668</v>
      </c>
    </row>
    <row r="34" spans="1:15" x14ac:dyDescent="0.25">
      <c r="A34" s="5">
        <v>35</v>
      </c>
      <c r="B34" s="7">
        <v>1884500000</v>
      </c>
      <c r="C34" s="7">
        <v>14046890000</v>
      </c>
      <c r="E34">
        <v>32</v>
      </c>
      <c r="F34">
        <v>3376080000</v>
      </c>
      <c r="H34">
        <v>32</v>
      </c>
      <c r="I34">
        <v>29739260000</v>
      </c>
      <c r="K34" s="5">
        <v>35</v>
      </c>
      <c r="L34" s="7">
        <v>574030000</v>
      </c>
      <c r="N34">
        <v>31</v>
      </c>
      <c r="O34" s="16">
        <v>21825483.870967742</v>
      </c>
    </row>
    <row r="35" spans="1:15" x14ac:dyDescent="0.25">
      <c r="E35">
        <v>33</v>
      </c>
      <c r="F35">
        <v>1502030000</v>
      </c>
      <c r="H35">
        <v>33</v>
      </c>
      <c r="I35">
        <v>12657300000</v>
      </c>
      <c r="N35">
        <v>32</v>
      </c>
      <c r="O35" s="16">
        <v>31314687.5</v>
      </c>
    </row>
    <row r="36" spans="1:15" x14ac:dyDescent="0.25">
      <c r="E36">
        <v>34</v>
      </c>
      <c r="F36">
        <v>2534870000</v>
      </c>
      <c r="H36">
        <v>34</v>
      </c>
      <c r="I36">
        <v>21493130000</v>
      </c>
      <c r="N36">
        <v>33</v>
      </c>
      <c r="O36" s="16">
        <v>13508787.878787879</v>
      </c>
    </row>
    <row r="37" spans="1:15" x14ac:dyDescent="0.25">
      <c r="E37">
        <v>35</v>
      </c>
      <c r="F37">
        <v>1884500000</v>
      </c>
      <c r="H37">
        <v>35</v>
      </c>
      <c r="I37">
        <v>14046890000</v>
      </c>
      <c r="N37">
        <v>34</v>
      </c>
      <c r="O37" s="16">
        <v>26494411.764705881</v>
      </c>
    </row>
    <row r="38" spans="1:15" x14ac:dyDescent="0.25">
      <c r="N38">
        <v>35</v>
      </c>
      <c r="O38" s="16">
        <v>16400857.142857144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12D99-1DC8-4950-B5DA-819FAC76ECD8}">
  <sheetPr codeName="Sheet14"/>
  <dimension ref="H1:P3"/>
  <sheetViews>
    <sheetView showGridLines="0" showRowColHeaders="0" workbookViewId="0">
      <selection activeCell="U34" sqref="U34"/>
    </sheetView>
  </sheetViews>
  <sheetFormatPr defaultRowHeight="15" x14ac:dyDescent="0.25"/>
  <sheetData>
    <row r="1" spans="8:16" x14ac:dyDescent="0.25">
      <c r="H1" s="52" t="s">
        <v>556</v>
      </c>
      <c r="I1" s="53"/>
      <c r="J1" s="53"/>
      <c r="K1" s="53"/>
      <c r="L1" s="53"/>
      <c r="M1" s="53"/>
      <c r="N1" s="53"/>
      <c r="O1" s="53"/>
      <c r="P1" s="54"/>
    </row>
    <row r="2" spans="8:16" x14ac:dyDescent="0.25">
      <c r="H2" s="55"/>
      <c r="I2" s="56"/>
      <c r="J2" s="56"/>
      <c r="K2" s="56"/>
      <c r="L2" s="56"/>
      <c r="M2" s="56"/>
      <c r="N2" s="56"/>
      <c r="O2" s="56"/>
      <c r="P2" s="57"/>
    </row>
    <row r="3" spans="8:16" ht="15.75" thickBot="1" x14ac:dyDescent="0.3">
      <c r="H3" s="58"/>
      <c r="I3" s="59"/>
      <c r="J3" s="59"/>
      <c r="K3" s="59"/>
      <c r="L3" s="59"/>
      <c r="M3" s="59"/>
      <c r="N3" s="59"/>
      <c r="O3" s="59"/>
      <c r="P3" s="60"/>
    </row>
  </sheetData>
  <sheetProtection sheet="1" objects="1" scenarios="1" selectLockedCells="1"/>
  <mergeCells count="1">
    <mergeCell ref="H1:P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F6A0A-D4EE-4847-ABB2-D6B70006733D}">
  <sheetPr codeName="Sheet5"/>
  <dimension ref="A1:O14"/>
  <sheetViews>
    <sheetView workbookViewId="0">
      <selection activeCell="C14" sqref="C14"/>
    </sheetView>
  </sheetViews>
  <sheetFormatPr defaultRowHeight="15" x14ac:dyDescent="0.25"/>
  <cols>
    <col min="1" max="1" width="13.42578125" bestFit="1" customWidth="1"/>
    <col min="2" max="2" width="22.7109375" bestFit="1" customWidth="1"/>
    <col min="7" max="7" width="13.85546875" bestFit="1" customWidth="1"/>
    <col min="8" max="8" width="25.85546875" bestFit="1" customWidth="1"/>
    <col min="14" max="14" width="13.42578125" bestFit="1" customWidth="1"/>
    <col min="15" max="15" width="34.140625" bestFit="1" customWidth="1"/>
  </cols>
  <sheetData>
    <row r="1" spans="1:15" x14ac:dyDescent="0.25">
      <c r="A1" s="4" t="s">
        <v>529</v>
      </c>
      <c r="B1" t="s">
        <v>530</v>
      </c>
    </row>
    <row r="2" spans="1:15" x14ac:dyDescent="0.25">
      <c r="A2" s="5" t="s">
        <v>31</v>
      </c>
      <c r="B2" s="61">
        <v>11646430000</v>
      </c>
    </row>
    <row r="3" spans="1:15" x14ac:dyDescent="0.25">
      <c r="A3" s="5" t="s">
        <v>72</v>
      </c>
      <c r="B3" s="61">
        <v>11524310000</v>
      </c>
      <c r="F3" t="s">
        <v>1</v>
      </c>
    </row>
    <row r="4" spans="1:15" x14ac:dyDescent="0.25">
      <c r="A4" s="5" t="s">
        <v>14</v>
      </c>
      <c r="B4" s="61">
        <v>11212130000</v>
      </c>
      <c r="F4" t="s">
        <v>7</v>
      </c>
    </row>
    <row r="5" spans="1:15" x14ac:dyDescent="0.25">
      <c r="A5" s="5" t="s">
        <v>18</v>
      </c>
      <c r="B5" s="61">
        <v>10735260000</v>
      </c>
      <c r="N5" s="4" t="s">
        <v>529</v>
      </c>
      <c r="O5" t="s">
        <v>535</v>
      </c>
    </row>
    <row r="6" spans="1:15" x14ac:dyDescent="0.25">
      <c r="A6" s="5" t="s">
        <v>22</v>
      </c>
      <c r="B6" s="61">
        <v>8577050000</v>
      </c>
      <c r="N6" s="5" t="s">
        <v>22</v>
      </c>
      <c r="O6" s="6">
        <v>7.9493548387096773</v>
      </c>
    </row>
    <row r="7" spans="1:15" x14ac:dyDescent="0.25">
      <c r="A7" s="5" t="s">
        <v>10</v>
      </c>
      <c r="B7" s="61">
        <v>8049470000</v>
      </c>
      <c r="G7" s="4" t="s">
        <v>529</v>
      </c>
      <c r="H7" t="s">
        <v>533</v>
      </c>
      <c r="N7" s="5" t="s">
        <v>36</v>
      </c>
      <c r="O7" s="6">
        <v>8.9921568627450981</v>
      </c>
    </row>
    <row r="8" spans="1:15" x14ac:dyDescent="0.25">
      <c r="A8" s="5" t="s">
        <v>36</v>
      </c>
      <c r="B8" s="61">
        <v>7972310000</v>
      </c>
      <c r="G8" s="5" t="s">
        <v>11</v>
      </c>
      <c r="H8" s="6">
        <v>3.1960784313725492</v>
      </c>
      <c r="N8" s="5" t="s">
        <v>72</v>
      </c>
      <c r="O8" s="6">
        <v>9.6647142857142843</v>
      </c>
    </row>
    <row r="9" spans="1:15" x14ac:dyDescent="0.25">
      <c r="A9" s="5" t="s">
        <v>27</v>
      </c>
      <c r="B9" s="61">
        <v>6611420000</v>
      </c>
      <c r="G9" s="5" t="s">
        <v>25</v>
      </c>
      <c r="H9" s="6">
        <v>3.074074074074074</v>
      </c>
      <c r="N9" s="5" t="s">
        <v>14</v>
      </c>
      <c r="O9" s="6">
        <v>8.8016216216216225</v>
      </c>
    </row>
    <row r="10" spans="1:15" x14ac:dyDescent="0.25">
      <c r="A10" s="5" t="s">
        <v>528</v>
      </c>
      <c r="B10" s="61">
        <v>76328380000</v>
      </c>
      <c r="G10" s="5" t="s">
        <v>29</v>
      </c>
      <c r="H10" s="6">
        <v>2.8762886597938144</v>
      </c>
      <c r="N10" s="5" t="s">
        <v>31</v>
      </c>
      <c r="O10" s="6">
        <v>8.9728169014084482</v>
      </c>
    </row>
    <row r="11" spans="1:15" x14ac:dyDescent="0.25">
      <c r="G11" s="5" t="s">
        <v>15</v>
      </c>
      <c r="H11" s="6">
        <v>2.8111111111111109</v>
      </c>
      <c r="N11" s="5" t="s">
        <v>18</v>
      </c>
      <c r="O11" s="6">
        <v>8.9366129032258073</v>
      </c>
    </row>
    <row r="12" spans="1:15" x14ac:dyDescent="0.25">
      <c r="G12" s="5" t="s">
        <v>38</v>
      </c>
      <c r="H12" s="6">
        <v>2.8058252427184467</v>
      </c>
      <c r="N12" s="5" t="s">
        <v>27</v>
      </c>
      <c r="O12" s="6">
        <v>8.8253061224489784</v>
      </c>
    </row>
    <row r="13" spans="1:15" x14ac:dyDescent="0.25">
      <c r="G13" s="5" t="s">
        <v>528</v>
      </c>
      <c r="H13" s="6">
        <v>2.9580000000000002</v>
      </c>
      <c r="N13" s="5" t="s">
        <v>10</v>
      </c>
      <c r="O13" s="6">
        <v>9.0631147540983594</v>
      </c>
    </row>
    <row r="14" spans="1:15" x14ac:dyDescent="0.25">
      <c r="N14" s="5" t="s">
        <v>528</v>
      </c>
      <c r="O14" s="6">
        <v>8.9114800000000045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FDA83E14-B81B-4B5A-BF10-32FEE3EA71A3}">
  <ds:schemaRefs/>
</ds:datastoreItem>
</file>

<file path=customXml/itemProps2.xml><?xml version="1.0" encoding="utf-8"?>
<ds:datastoreItem xmlns:ds="http://schemas.openxmlformats.org/officeDocument/2006/customXml" ds:itemID="{D919E3DD-E19A-44F5-8FD0-6CBA83DEC257}">
  <ds:schemaRefs/>
</ds:datastoreItem>
</file>

<file path=customXml/itemProps3.xml><?xml version="1.0" encoding="utf-8"?>
<ds:datastoreItem xmlns:ds="http://schemas.openxmlformats.org/officeDocument/2006/customXml" ds:itemID="{98498DBE-ACD8-41F9-95DB-604DAF3DD186}">
  <ds:schemaRefs/>
</ds:datastoreItem>
</file>

<file path=customXml/itemProps4.xml><?xml version="1.0" encoding="utf-8"?>
<ds:datastoreItem xmlns:ds="http://schemas.openxmlformats.org/officeDocument/2006/customXml" ds:itemID="{4C7B1E53-405C-4023-98AE-8C61982C69FD}">
  <ds:schemaRefs/>
</ds:datastoreItem>
</file>

<file path=customXml/itemProps5.xml><?xml version="1.0" encoding="utf-8"?>
<ds:datastoreItem xmlns:ds="http://schemas.openxmlformats.org/officeDocument/2006/customXml" ds:itemID="{45B76DEE-09F1-4B05-A7CA-0D20F4BA7A72}">
  <ds:schemaRefs/>
</ds:datastoreItem>
</file>

<file path=customXml/itemProps6.xml><?xml version="1.0" encoding="utf-8"?>
<ds:datastoreItem xmlns:ds="http://schemas.openxmlformats.org/officeDocument/2006/customXml" ds:itemID="{16E84914-3BE4-4977-B36B-D11EB657FDA7}">
  <ds:schemaRefs/>
</ds:datastoreItem>
</file>

<file path=customXml/itemProps7.xml><?xml version="1.0" encoding="utf-8"?>
<ds:datastoreItem xmlns:ds="http://schemas.openxmlformats.org/officeDocument/2006/customXml" ds:itemID="{D0C02FBE-59A6-43AE-B932-911DC691AD01}">
  <ds:schemaRefs/>
</ds:datastoreItem>
</file>

<file path=customXml/itemProps8.xml><?xml version="1.0" encoding="utf-8"?>
<ds:datastoreItem xmlns:ds="http://schemas.openxmlformats.org/officeDocument/2006/customXml" ds:itemID="{548DEA07-538A-4808-902B-EE29053371E2}">
  <ds:schemaRefs/>
</ds:datastoreItem>
</file>

<file path=customXml/itemProps9.xml><?xml version="1.0" encoding="utf-8"?>
<ds:datastoreItem xmlns:ds="http://schemas.openxmlformats.org/officeDocument/2006/customXml" ds:itemID="{5A4EFBAC-2FFC-49F6-A0EF-2E7315BFC1E3}">
  <ds:schemaRefs/>
</ds:datastoreItem>
</file>

<file path=customXml/itemProps10.xml><?xml version="1.0" encoding="utf-8"?>
<ds:datastoreItem xmlns:ds="http://schemas.openxmlformats.org/officeDocument/2006/customXml" ds:itemID="{796F48F4-61AF-41BB-8DC0-22DA8A2511EC}">
  <ds:schemaRefs/>
</ds:datastoreItem>
</file>

<file path=customXml/itemProps11.xml><?xml version="1.0" encoding="utf-8"?>
<ds:datastoreItem xmlns:ds="http://schemas.openxmlformats.org/officeDocument/2006/customXml" ds:itemID="{D5F1F239-4646-434B-A942-2A8DFB573F3A}">
  <ds:schemaRefs/>
</ds:datastoreItem>
</file>

<file path=customXml/itemProps12.xml><?xml version="1.0" encoding="utf-8"?>
<ds:datastoreItem xmlns:ds="http://schemas.openxmlformats.org/officeDocument/2006/customXml" ds:itemID="{F8F61534-FB5E-4DD7-8CD7-5A2C02DE6E32}">
  <ds:schemaRefs/>
</ds:datastoreItem>
</file>

<file path=customXml/itemProps13.xml><?xml version="1.0" encoding="utf-8"?>
<ds:datastoreItem xmlns:ds="http://schemas.openxmlformats.org/officeDocument/2006/customXml" ds:itemID="{560A2919-AE47-4A67-BEF9-B91E981BB2CB}">
  <ds:schemaRefs/>
</ds:datastoreItem>
</file>

<file path=customXml/itemProps14.xml><?xml version="1.0" encoding="utf-8"?>
<ds:datastoreItem xmlns:ds="http://schemas.openxmlformats.org/officeDocument/2006/customXml" ds:itemID="{F0387E6E-D816-4F4E-8AF3-C2B2A64E840F}">
  <ds:schemaRefs/>
</ds:datastoreItem>
</file>

<file path=customXml/itemProps15.xml><?xml version="1.0" encoding="utf-8"?>
<ds:datastoreItem xmlns:ds="http://schemas.openxmlformats.org/officeDocument/2006/customXml" ds:itemID="{9EB30D1B-5970-42BD-B2D5-31BB5C352CEA}">
  <ds:schemaRefs/>
</ds:datastoreItem>
</file>

<file path=customXml/itemProps16.xml><?xml version="1.0" encoding="utf-8"?>
<ds:datastoreItem xmlns:ds="http://schemas.openxmlformats.org/officeDocument/2006/customXml" ds:itemID="{EDB44CAF-7652-443F-80A6-B07C45836947}">
  <ds:schemaRefs/>
</ds:datastoreItem>
</file>

<file path=customXml/itemProps17.xml><?xml version="1.0" encoding="utf-8"?>
<ds:datastoreItem xmlns:ds="http://schemas.openxmlformats.org/officeDocument/2006/customXml" ds:itemID="{9D84B463-3FCB-4F9B-94A5-32D9E267DF25}">
  <ds:schemaRefs/>
</ds:datastoreItem>
</file>

<file path=customXml/itemProps18.xml><?xml version="1.0" encoding="utf-8"?>
<ds:datastoreItem xmlns:ds="http://schemas.openxmlformats.org/officeDocument/2006/customXml" ds:itemID="{EAED0147-4B00-416C-AE49-8FA56594B542}">
  <ds:schemaRefs/>
</ds:datastoreItem>
</file>

<file path=customXml/itemProps19.xml><?xml version="1.0" encoding="utf-8"?>
<ds:datastoreItem xmlns:ds="http://schemas.openxmlformats.org/officeDocument/2006/customXml" ds:itemID="{FCC99E96-58E9-4F75-8A87-3D815B6F03BE}">
  <ds:schemaRefs/>
</ds:datastoreItem>
</file>

<file path=customXml/itemProps20.xml><?xml version="1.0" encoding="utf-8"?>
<ds:datastoreItem xmlns:ds="http://schemas.openxmlformats.org/officeDocument/2006/customXml" ds:itemID="{AEB6CC36-1D03-431D-B52B-21C20BF41D3A}">
  <ds:schemaRefs/>
</ds:datastoreItem>
</file>

<file path=customXml/itemProps21.xml><?xml version="1.0" encoding="utf-8"?>
<ds:datastoreItem xmlns:ds="http://schemas.openxmlformats.org/officeDocument/2006/customXml" ds:itemID="{74A522B4-F2DF-4613-A42E-724509ECD6E6}">
  <ds:schemaRefs/>
</ds:datastoreItem>
</file>

<file path=customXml/itemProps22.xml><?xml version="1.0" encoding="utf-8"?>
<ds:datastoreItem xmlns:ds="http://schemas.openxmlformats.org/officeDocument/2006/customXml" ds:itemID="{EEADBC21-2134-4F4F-8CD2-E172075E9464}">
  <ds:schemaRefs/>
</ds:datastoreItem>
</file>

<file path=customXml/itemProps23.xml><?xml version="1.0" encoding="utf-8"?>
<ds:datastoreItem xmlns:ds="http://schemas.openxmlformats.org/officeDocument/2006/customXml" ds:itemID="{911AD3E6-4AAA-4C41-8854-A0BB54E5D9F6}">
  <ds:schemaRefs/>
</ds:datastoreItem>
</file>

<file path=customXml/itemProps24.xml><?xml version="1.0" encoding="utf-8"?>
<ds:datastoreItem xmlns:ds="http://schemas.openxmlformats.org/officeDocument/2006/customXml" ds:itemID="{3E794200-3FCD-4BD8-A1E9-C043B2B0F541}">
  <ds:schemaRefs/>
</ds:datastoreItem>
</file>

<file path=customXml/itemProps25.xml><?xml version="1.0" encoding="utf-8"?>
<ds:datastoreItem xmlns:ds="http://schemas.openxmlformats.org/officeDocument/2006/customXml" ds:itemID="{57FA1077-6F16-4D3D-BA69-14EC4B275228}">
  <ds:schemaRefs/>
</ds:datastoreItem>
</file>

<file path=customXml/itemProps26.xml><?xml version="1.0" encoding="utf-8"?>
<ds:datastoreItem xmlns:ds="http://schemas.openxmlformats.org/officeDocument/2006/customXml" ds:itemID="{74C991C3-491B-4B09-A2C4-B7C47149483A}">
  <ds:schemaRefs/>
</ds:datastoreItem>
</file>

<file path=customXml/itemProps27.xml><?xml version="1.0" encoding="utf-8"?>
<ds:datastoreItem xmlns:ds="http://schemas.openxmlformats.org/officeDocument/2006/customXml" ds:itemID="{0BBCD313-9E1F-498D-BD20-2CE96E8E53B5}">
  <ds:schemaRefs/>
</ds:datastoreItem>
</file>

<file path=customXml/itemProps28.xml><?xml version="1.0" encoding="utf-8"?>
<ds:datastoreItem xmlns:ds="http://schemas.openxmlformats.org/officeDocument/2006/customXml" ds:itemID="{4DC06772-DF38-4123-A706-452391A59205}">
  <ds:schemaRefs/>
</ds:datastoreItem>
</file>

<file path=customXml/itemProps29.xml><?xml version="1.0" encoding="utf-8"?>
<ds:datastoreItem xmlns:ds="http://schemas.openxmlformats.org/officeDocument/2006/customXml" ds:itemID="{71680FE2-80BE-42EB-9934-7C5BCD253C22}">
  <ds:schemaRefs/>
</ds:datastoreItem>
</file>

<file path=customXml/itemProps30.xml><?xml version="1.0" encoding="utf-8"?>
<ds:datastoreItem xmlns:ds="http://schemas.openxmlformats.org/officeDocument/2006/customXml" ds:itemID="{1062D618-04B2-4044-ABAB-D3ADA986C27C}">
  <ds:schemaRefs/>
</ds:datastoreItem>
</file>

<file path=customXml/itemProps31.xml><?xml version="1.0" encoding="utf-8"?>
<ds:datastoreItem xmlns:ds="http://schemas.openxmlformats.org/officeDocument/2006/customXml" ds:itemID="{97AF82D4-DD8B-4F11-91B6-B9C88329F283}">
  <ds:schemaRefs/>
</ds:datastoreItem>
</file>

<file path=customXml/itemProps32.xml><?xml version="1.0" encoding="utf-8"?>
<ds:datastoreItem xmlns:ds="http://schemas.openxmlformats.org/officeDocument/2006/customXml" ds:itemID="{8980ACD8-CB9A-4FB2-A491-B587F9634045}">
  <ds:schemaRefs/>
</ds:datastoreItem>
</file>

<file path=customXml/itemProps33.xml><?xml version="1.0" encoding="utf-8"?>
<ds:datastoreItem xmlns:ds="http://schemas.openxmlformats.org/officeDocument/2006/customXml" ds:itemID="{19AC20F7-ACBE-4A1E-8065-8E9EE34ADFBC}">
  <ds:schemaRefs/>
</ds:datastoreItem>
</file>

<file path=customXml/itemProps34.xml><?xml version="1.0" encoding="utf-8"?>
<ds:datastoreItem xmlns:ds="http://schemas.openxmlformats.org/officeDocument/2006/customXml" ds:itemID="{3FF09608-9826-4587-97F2-C00A950E70CE}">
  <ds:schemaRefs/>
</ds:datastoreItem>
</file>

<file path=customXml/itemProps35.xml><?xml version="1.0" encoding="utf-8"?>
<ds:datastoreItem xmlns:ds="http://schemas.openxmlformats.org/officeDocument/2006/customXml" ds:itemID="{49F31324-85A3-42BB-825B-4F1E5213AA1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Cleaned_Data</vt:lpstr>
      <vt:lpstr>FI data</vt:lpstr>
      <vt:lpstr>Funding Insights</vt:lpstr>
      <vt:lpstr>G&amp;R calculations</vt:lpstr>
      <vt:lpstr>Growth&amp;Revenue Insights</vt:lpstr>
      <vt:lpstr>PA calculations</vt:lpstr>
      <vt:lpstr>Profit Analysis Insights</vt:lpstr>
      <vt:lpstr>RB calculations</vt:lpstr>
      <vt:lpstr>Regional Breakdown</vt:lpstr>
      <vt:lpstr>ES calculations</vt:lpstr>
      <vt:lpstr>Exit Strategy</vt:lpstr>
      <vt:lpstr>TBI calculations</vt:lpstr>
      <vt:lpstr>Time Based Insights</vt:lpstr>
      <vt:lpstr>FI calculations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Rowatul Rafi</dc:creator>
  <cp:lastModifiedBy>1906016 - Md. Rowatul Jannat Rafi</cp:lastModifiedBy>
  <dcterms:created xsi:type="dcterms:W3CDTF">2025-07-26T09:24:51Z</dcterms:created>
  <dcterms:modified xsi:type="dcterms:W3CDTF">2025-08-11T06:20:20Z</dcterms:modified>
</cp:coreProperties>
</file>